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Assumptions" sheetId="2" state="visible" r:id="rId4"/>
    <sheet name="WB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<sst xmlns="http://schemas.openxmlformats.org/spreadsheetml/2006/main" count="603" uniqueCount="456">
  <si>
    <t xml:space="preserve">Smart Parking Platform – Draft Project Timeline (Gantt) – v2.0, Sep 17 2026</t>
  </si>
  <si>
    <t xml:space="preserve">Editable: Duration (working days) and People per task; Start dates are formulas driven by predecessors (FS = finish-to-start, SS = start-to-start). Bars redraw automatically.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</si>
  <si>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</si>
  <si>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</si>
  <si>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</si>
  <si>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</si>
  <si>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</si>
  <si>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</si>
  <si>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</si>
  <si>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</si>
  <si>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ID</t>
  </si>
  <si>
    <t xml:space="preserve">Task / Deliverable</t>
  </si>
  <si>
    <t xml:space="preserve">Team</t>
  </si>
  <si>
    <t xml:space="preserve">People</t>
  </si>
  <si>
    <t xml:space="preserve">Story pts</t>
  </si>
  <si>
    <t xml:space="preserve">Duration (wd)</t>
  </si>
  <si>
    <t xml:space="preserve">Start</t>
  </si>
  <si>
    <t xml:space="preserve">End</t>
  </si>
  <si>
    <t xml:space="preserve">Predecessors</t>
  </si>
  <si>
    <t xml:space="preserve">Phase</t>
  </si>
  <si>
    <t xml:space="preserve">M0</t>
  </si>
  <si>
    <t xml:space="preserve">Project kickoff / contract award (SRS v1.0)</t>
  </si>
  <si>
    <t xml:space="preserve">PM</t>
  </si>
  <si>
    <t xml:space="preserve">Milestone</t>
  </si>
  <si>
    <t xml:space="preserve">M1</t>
  </si>
  <si>
    <t xml:space="preserve">Requirements &amp; Design Approved</t>
  </si>
  <si>
    <t xml:space="preserve">Client + PM</t>
  </si>
  <si>
    <t xml:space="preserve">P0.2 FS</t>
  </si>
  <si>
    <t xml:space="preserve">M2</t>
  </si>
  <si>
    <t xml:space="preserve">MVP Acceptance (40% payment milestone)</t>
  </si>
  <si>
    <t xml:space="preserve">C1 FS</t>
  </si>
  <si>
    <t xml:space="preserve">M3</t>
  </si>
  <si>
    <t xml:space="preserve">Beta Release (all 14 facilities, invited drivers)</t>
  </si>
  <si>
    <t xml:space="preserve">T2 FS</t>
  </si>
  <si>
    <t xml:space="preserve">M4</t>
  </si>
  <si>
    <t xml:space="preserve">Final Delivery &amp; Handover (30% payment milestone)</t>
  </si>
  <si>
    <t xml:space="preserve">C2 FS</t>
  </si>
  <si>
    <t xml:space="preserve">P0.1</t>
  </si>
  <si>
    <t xml:space="preserve">Requirements finalization (SRS v1.0 -&gt; v3.0, use cases, NFRs)</t>
  </si>
  <si>
    <t xml:space="preserve">PM + leads</t>
  </si>
  <si>
    <t xml:space="preserve">M0 FS</t>
  </si>
  <si>
    <t xml:space="preserve">Phase 0</t>
  </si>
  <si>
    <t xml:space="preserve">P0.2</t>
  </si>
  <si>
    <t xml:space="preserve">Architecture, data model and UX design</t>
  </si>
  <si>
    <t xml:space="preserve">Leads + UX</t>
  </si>
  <si>
    <t xml:space="preserve">P0.1 SS</t>
  </si>
  <si>
    <t xml:space="preserve">1</t>
  </si>
  <si>
    <t xml:space="preserve">Accounts, Authentication &amp; Security</t>
  </si>
  <si>
    <t xml:space="preserve">Module summary</t>
  </si>
  <si>
    <t xml:space="preserve">1.1</t>
  </si>
  <si>
    <t xml:space="preserve">    Driver Accounts</t>
  </si>
  <si>
    <t xml:space="preserve">Backend + Web</t>
  </si>
  <si>
    <t xml:space="preserve">8.1 FS</t>
  </si>
  <si>
    <t xml:space="preserve">MVP scope</t>
  </si>
  <si>
    <t xml:space="preserve">1.2</t>
  </si>
  <si>
    <t xml:space="preserve">    Operator &amp; Administrator Access Control</t>
  </si>
  <si>
    <t xml:space="preserve">1.1 FS</t>
  </si>
  <si>
    <t xml:space="preserve">1.3</t>
  </si>
  <si>
    <t xml:space="preserve">    Fraud &amp; Abuse Prevention</t>
  </si>
  <si>
    <t xml:space="preserve">Backend</t>
  </si>
  <si>
    <t xml:space="preserve">4.1 FS, 1.1 FS</t>
  </si>
  <si>
    <t xml:space="preserve">Beta scope</t>
  </si>
  <si>
    <t xml:space="preserve">1.4</t>
  </si>
  <si>
    <t xml:space="preserve">    Data Protection &amp; Audit</t>
  </si>
  <si>
    <t xml:space="preserve">1.2 SS</t>
  </si>
  <si>
    <t xml:space="preserve">2</t>
  </si>
  <si>
    <t xml:space="preserve">Availability, Map &amp; Navigation</t>
  </si>
  <si>
    <t xml:space="preserve">2.1</t>
  </si>
  <si>
    <t xml:space="preserve">    Real-Time Availability Engine</t>
  </si>
  <si>
    <t xml:space="preserve">Backend + Mapping</t>
  </si>
  <si>
    <t xml:space="preserve">8.2 FS</t>
  </si>
  <si>
    <t xml:space="preserve">2.2</t>
  </si>
  <si>
    <t xml:space="preserve">    Facility Search &amp; Map</t>
  </si>
  <si>
    <t xml:space="preserve">Mapping + Mobile</t>
  </si>
  <si>
    <t xml:space="preserve">8.4 FS, 2.1 SS</t>
  </si>
  <si>
    <t xml:space="preserve">2.3</t>
  </si>
  <si>
    <t xml:space="preserve">    Navigation Hand-off</t>
  </si>
  <si>
    <t xml:space="preserve">Mobile</t>
  </si>
  <si>
    <t xml:space="preserve">2.2 FS</t>
  </si>
  <si>
    <t xml:space="preserve">3</t>
  </si>
  <si>
    <t xml:space="preserve">Reservations &amp; Permits</t>
  </si>
  <si>
    <t xml:space="preserve">3.1</t>
  </si>
  <si>
    <t xml:space="preserve">    Reservation Engine</t>
  </si>
  <si>
    <t xml:space="preserve">Backend + Mobile</t>
  </si>
  <si>
    <t xml:space="preserve">5.2 FS, 2.2 FS, 4.1 FS</t>
  </si>
  <si>
    <t xml:space="preserve">3.2</t>
  </si>
  <si>
    <t xml:space="preserve">    Active Session Management</t>
  </si>
  <si>
    <t xml:space="preserve">3.3 FS</t>
  </si>
  <si>
    <t xml:space="preserve">3.3</t>
  </si>
  <si>
    <t xml:space="preserve">    Entry Credentials</t>
  </si>
  <si>
    <t xml:space="preserve">3.1 FS, 8.2 FS</t>
  </si>
  <si>
    <t xml:space="preserve">3.4</t>
  </si>
  <si>
    <t xml:space="preserve">    Monthly Permits</t>
  </si>
  <si>
    <t xml:space="preserve">3.1 FS</t>
  </si>
  <si>
    <t xml:space="preserve">4</t>
  </si>
  <si>
    <t xml:space="preserve">Payments, Receipts &amp; Finance</t>
  </si>
  <si>
    <t xml:space="preserve">4.1</t>
  </si>
  <si>
    <t xml:space="preserve">    Payment Processing</t>
  </si>
  <si>
    <t xml:space="preserve">Payments</t>
  </si>
  <si>
    <t xml:space="preserve">4.2</t>
  </si>
  <si>
    <t xml:space="preserve">    Receipts &amp; History</t>
  </si>
  <si>
    <t xml:space="preserve">Payments + Mobile</t>
  </si>
  <si>
    <t xml:space="preserve">4.3</t>
  </si>
  <si>
    <t xml:space="preserve">    Finance Tools</t>
  </si>
  <si>
    <t xml:space="preserve">Payments + Web</t>
  </si>
  <si>
    <t xml:space="preserve">4.2 FS</t>
  </si>
  <si>
    <t xml:space="preserve">5</t>
  </si>
  <si>
    <t xml:space="preserve">Operator Dashboard &amp; Facility Management</t>
  </si>
  <si>
    <t xml:space="preserve">5.1</t>
  </si>
  <si>
    <t xml:space="preserve">    Facility Configuration</t>
  </si>
  <si>
    <t xml:space="preserve">Web + Backend</t>
  </si>
  <si>
    <t xml:space="preserve">1.2 FS</t>
  </si>
  <si>
    <t xml:space="preserve">5.2</t>
  </si>
  <si>
    <t xml:space="preserve">    Pricing</t>
  </si>
  <si>
    <t xml:space="preserve">5.1 FS</t>
  </si>
  <si>
    <t xml:space="preserve">5.3</t>
  </si>
  <si>
    <t xml:space="preserve">    Occupancy Monitoring</t>
  </si>
  <si>
    <t xml:space="preserve">2.1 FS, 5.1 FS</t>
  </si>
  <si>
    <t xml:space="preserve">5.4</t>
  </si>
  <si>
    <t xml:space="preserve">    Reservation Management &amp; Lane Assist</t>
  </si>
  <si>
    <t xml:space="preserve">6</t>
  </si>
  <si>
    <t xml:space="preserve">Reporting &amp; Analytics</t>
  </si>
  <si>
    <t xml:space="preserve">6.1</t>
  </si>
  <si>
    <t xml:space="preserve">    Operator Reports</t>
  </si>
  <si>
    <t xml:space="preserve">4.2 FS, 5.3 FS</t>
  </si>
  <si>
    <t xml:space="preserve">6.2</t>
  </si>
  <si>
    <t xml:space="preserve">    Open Data</t>
  </si>
  <si>
    <t xml:space="preserve">2.1 FS</t>
  </si>
  <si>
    <t xml:space="preserve">7</t>
  </si>
  <si>
    <t xml:space="preserve">Notifications</t>
  </si>
  <si>
    <t xml:space="preserve">7.1</t>
  </si>
  <si>
    <t xml:space="preserve">    Notification Service</t>
  </si>
  <si>
    <t xml:space="preserve">7.2</t>
  </si>
  <si>
    <t xml:space="preserve">    Preferences</t>
  </si>
  <si>
    <t xml:space="preserve">7.1 FS</t>
  </si>
  <si>
    <t xml:space="preserve">8</t>
  </si>
  <si>
    <t xml:space="preserve">Hardware Integration &amp; Platform Infrastructure</t>
  </si>
  <si>
    <t xml:space="preserve">8.1</t>
  </si>
  <si>
    <t xml:space="preserve">    Cloud Platform</t>
  </si>
  <si>
    <t xml:space="preserve">Backend/API</t>
  </si>
  <si>
    <t xml:space="preserve">M1 FS</t>
  </si>
  <si>
    <t xml:space="preserve">8.2</t>
  </si>
  <si>
    <t xml:space="preserve">    Gate &amp; LPR Integration</t>
  </si>
  <si>
    <t xml:space="preserve">8.3</t>
  </si>
  <si>
    <t xml:space="preserve">    Facility Edge Service</t>
  </si>
  <si>
    <t xml:space="preserve">8.4</t>
  </si>
  <si>
    <t xml:space="preserve">    Client Application Shells</t>
  </si>
  <si>
    <t xml:space="preserve">Mobile + Web</t>
  </si>
  <si>
    <t xml:space="preserve">8.1 SS</t>
  </si>
  <si>
    <t xml:space="preserve">9</t>
  </si>
  <si>
    <t xml:space="preserve">Quality Assurance &amp; Release</t>
  </si>
  <si>
    <t xml:space="preserve">9.1</t>
  </si>
  <si>
    <t xml:space="preserve">    Test Infrastructure</t>
  </si>
  <si>
    <t xml:space="preserve">QA</t>
  </si>
  <si>
    <t xml:space="preserve">9.2</t>
  </si>
  <si>
    <t xml:space="preserve">    Performance, Security &amp; Usability Validation</t>
  </si>
  <si>
    <t xml:space="preserve">3.3 FS, 8.3 FS</t>
  </si>
  <si>
    <t xml:space="preserve">9.3</t>
  </si>
  <si>
    <t xml:space="preserve">    Release Management</t>
  </si>
  <si>
    <t xml:space="preserve">QA + PM</t>
  </si>
  <si>
    <t xml:space="preserve">M3 FS</t>
  </si>
  <si>
    <t xml:space="preserve">Release</t>
  </si>
  <si>
    <t xml:space="preserve">T1</t>
  </si>
  <si>
    <t xml:space="preserve">MVP integration &amp; end-to-end testing (2 pilot facilities, gate/LPR, payments)</t>
  </si>
  <si>
    <t xml:space="preserve">QA + all teams</t>
  </si>
  <si>
    <t xml:space="preserve">3.3 FS, 2.3 FS, 8.3 FS</t>
  </si>
  <si>
    <t xml:space="preserve">Phase 1 – MVP build</t>
  </si>
  <si>
    <t xml:space="preserve">C1</t>
  </si>
  <si>
    <t xml:space="preserve">Schedule cushion – MVP (5 working days)</t>
  </si>
  <si>
    <t xml:space="preserve">—</t>
  </si>
  <si>
    <t xml:space="preserve">T1 FS</t>
  </si>
  <si>
    <t xml:space="preserve">T2</t>
  </si>
  <si>
    <t xml:space="preserve">Beta regression, stress-test run and security sign-off</t>
  </si>
  <si>
    <t xml:space="preserve">QA + Backend</t>
  </si>
  <si>
    <t xml:space="preserve">9.2 FS, 6.1 FS, 4.3 FS</t>
  </si>
  <si>
    <t xml:space="preserve">Phase 2 – Beta build</t>
  </si>
  <si>
    <t xml:space="preserve">C2</t>
  </si>
  <si>
    <t xml:space="preserve">Schedule cushion – Final (13 working days)</t>
  </si>
  <si>
    <t xml:space="preserve">9.3 FS</t>
  </si>
  <si>
    <t xml:space="preserve">Phase 3 – Release</t>
  </si>
  <si>
    <t xml:space="preserve">Legend:  ■ blue = MVP-scope deliverable   ■ green = Beta-scope deliverable   ■ amber = integration / E2E test window   ■ grey = schedule cushion   ■ red = milestone   ■ purple = requirements &amp; design</t>
  </si>
  <si>
    <t xml:space="preserve">Durations = ROUNDUP(story points × days-per-point ÷ people). Blue cells on this and the Assumptions sheet are the inputs; everything else recalculates.</t>
  </si>
  <si>
    <t xml:space="preserve">Smart Parking Platform – Schedule Assumptions (v2.0 draft, HW2)</t>
  </si>
  <si>
    <t xml:space="preserve">Assumption</t>
  </si>
  <si>
    <t xml:space="preserve">Value</t>
  </si>
  <si>
    <t xml:space="preserve">Note</t>
  </si>
  <si>
    <t xml:space="preserve">Days per story point (blended developer-days)</t>
  </si>
  <si>
    <t xml:space="preserve">1 SP ≈ 2 developer-days incl. code review, unit tests, sprint ceremonies. Edit to re-time every task.</t>
  </si>
  <si>
    <t xml:space="preserve">Build start (first working day after design approval)</t>
  </si>
  <si>
    <t xml:space="preserve">Day after milestone M1</t>
  </si>
  <si>
    <t xml:space="preserve">Cushion – MVP (working days)</t>
  </si>
  <si>
    <t xml:space="preserve">Novice-domain cushion; lecture 3 recommends 15–20% total</t>
  </si>
  <si>
    <t xml:space="preserve">Cushion – Final (working days)</t>
  </si>
  <si>
    <t xml:space="preserve">Integration/E2E test window (working days)</t>
  </si>
  <si>
    <t xml:space="preserve">Applied before MVP and Beta milestones</t>
  </si>
  <si>
    <t xml:space="preserve">Team (from SRS §2.3; sizes assumed, unlimited budget)</t>
  </si>
  <si>
    <t xml:space="preserve">Mobile Application</t>
  </si>
  <si>
    <t xml:space="preserve">Web Application</t>
  </si>
  <si>
    <t xml:space="preserve">Mapping &amp; Location</t>
  </si>
  <si>
    <t xml:space="preserve">Payment Integration</t>
  </si>
  <si>
    <t xml:space="preserve">QA &amp; Testing</t>
  </si>
  <si>
    <t xml:space="preserve">Project Manager</t>
  </si>
  <si>
    <t xml:space="preserve">Total</t>
  </si>
  <si>
    <t xml:space="preserve">Non-working days (holidays) – used by WORKDAY()</t>
  </si>
  <si>
    <t xml:space="preserve">Legend: blue text / yellow fill = editable input. Change a duration or the days-per-point value and all dependent dates and bars update.</t>
  </si>
  <si>
    <t xml:space="preserve">WBS ID</t>
  </si>
  <si>
    <t xml:space="preserve">Level</t>
  </si>
  <si>
    <t xml:space="preserve">Deliverable / Work item</t>
  </si>
  <si>
    <t xml:space="preserve">Story points</t>
  </si>
  <si>
    <t xml:space="preserve">Rationale / trace to SRS</t>
  </si>
  <si>
    <t xml:space="preserve">FR-1–FR-4, FR-26, NFR-7/8/15; UC-1, UC-18</t>
  </si>
  <si>
    <t xml:space="preserve">1.1.1</t>
  </si>
  <si>
    <t xml:space="preserve">        Email/password registration with verification code</t>
  </si>
  <si>
    <t xml:space="preserve">UC-1 steps 1–2; standard but touches email service</t>
  </si>
  <si>
    <t xml:space="preserve">1.1.2</t>
  </si>
  <si>
    <t xml:space="preserve">        Apple and Google sign-in (OAuth)</t>
  </si>
  <si>
    <t xml:space="preserve">Two third-party identity providers, app-store review rules</t>
  </si>
  <si>
    <t xml:space="preserve">1.1.3</t>
  </si>
  <si>
    <t xml:space="preserve">        Vehicle profiles (up to 5, default vehicle, plate-ownership check)</t>
  </si>
  <si>
    <t xml:space="preserve">FR-2; CRUD plus duplicate-plate exception</t>
  </si>
  <si>
    <t xml:space="preserve">1.1.4</t>
  </si>
  <si>
    <t xml:space="preserve">        Password reset and account recovery</t>
  </si>
  <si>
    <t xml:space="preserve">Well-understood pattern</t>
  </si>
  <si>
    <t xml:space="preserve">1.2.1</t>
  </si>
  <si>
    <t xml:space="preserve">        Role and permission model (Operator Admin, Facility Manager, Finance, Attendant, Platform Admin)</t>
  </si>
  <si>
    <t xml:space="preserve">FR-3; permissions scoped per facility</t>
  </si>
  <si>
    <t xml:space="preserve">1.2.2</t>
  </si>
  <si>
    <t xml:space="preserve">        Staff invitation and facility assignment</t>
  </si>
  <si>
    <t xml:space="preserve">UC-18 steps 1–2</t>
  </si>
  <si>
    <t xml:space="preserve">1.2.3</t>
  </si>
  <si>
    <t xml:space="preserve">        Multi-factor authentication and 30-minute session expiry</t>
  </si>
  <si>
    <t xml:space="preserve">FR-4, NFR-8; MFA provider integration</t>
  </si>
  <si>
    <t xml:space="preserve">1.2.4</t>
  </si>
  <si>
    <t xml:space="preserve">        Immediate session and API-token revocation on user removal</t>
  </si>
  <si>
    <t xml:space="preserve">UC-18 exception</t>
  </si>
  <si>
    <t xml:space="preserve">1.3.1</t>
  </si>
  <si>
    <t xml:space="preserve">        Bot and duplicate-account defenses (rate limiting, CAPTCHA, device checks)</t>
  </si>
  <si>
    <t xml:space="preserve">Lecture 3 'bot army' risk; unknowns in tuning</t>
  </si>
  <si>
    <t xml:space="preserve">1.3.2</t>
  </si>
  <si>
    <t xml:space="preserve">        Verified payment method with name match required before first reservation</t>
  </si>
  <si>
    <t xml:space="preserve">Depends on 4.1; policy logic</t>
  </si>
  <si>
    <t xml:space="preserve">1.3.3</t>
  </si>
  <si>
    <t xml:space="preserve">        Per-account reservation limits and no-show rules</t>
  </si>
  <si>
    <t xml:space="preserve">Business rules plus enforcement</t>
  </si>
  <si>
    <t xml:space="preserve">1.4.1</t>
  </si>
  <si>
    <t xml:space="preserve">        Encryption in transit (TLS 1.2+) and at rest (AES-256), key management</t>
  </si>
  <si>
    <t xml:space="preserve">NFR-7; mostly configuration</t>
  </si>
  <si>
    <t xml:space="preserve">1.4.2</t>
  </si>
  <si>
    <t xml:space="preserve">        Personal-data export and deletion tools</t>
  </si>
  <si>
    <t xml:space="preserve">NFR-15; touches every data store</t>
  </si>
  <si>
    <t xml:space="preserve">1.4.3</t>
  </si>
  <si>
    <t xml:space="preserve">        Audit log service with before/after values (12-month retention)</t>
  </si>
  <si>
    <t xml:space="preserve">FR-26; cross-cutting hook into all admin actions</t>
  </si>
  <si>
    <t xml:space="preserve">FR-5–FR-8, NFR-1/2; UC-2, UC-4</t>
  </si>
  <si>
    <t xml:space="preserve">2.1.1</t>
  </si>
  <si>
    <t xml:space="preserve">        Occupancy counter service consuming gate and sensor events</t>
  </si>
  <si>
    <t xml:space="preserve">NFR-2 5-second freshness; concurrency and event ordering risk</t>
  </si>
  <si>
    <t xml:space="preserve">2.1.2</t>
  </si>
  <si>
    <t xml:space="preserve">        'Last updated' staleness tracking and degraded-mode flag</t>
  </si>
  <si>
    <t xml:space="preserve">A-1 fallback</t>
  </si>
  <si>
    <t xml:space="preserve">2.1.3</t>
  </si>
  <si>
    <t xml:space="preserve">        Waitlist notification when no availability</t>
  </si>
  <si>
    <t xml:space="preserve">UC-2 exception</t>
  </si>
  <si>
    <t xml:space="preserve">2.2.1</t>
  </si>
  <si>
    <t xml:space="preserve">        Map provider integration (Google Maps Platform / Mapbox) and geocoding</t>
  </si>
  <si>
    <t xml:space="preserve">A-4; secondary provider fallback</t>
  </si>
  <si>
    <t xml:space="preserve">2.2.2</t>
  </si>
  <si>
    <t xml:space="preserve">        Search by destination or current location with arrival time and duration</t>
  </si>
  <si>
    <t xml:space="preserve">UC-2 steps 1–2; NFR-1 2-second target</t>
  </si>
  <si>
    <t xml:space="preserve">2.2.3</t>
  </si>
  <si>
    <t xml:space="preserve">        Filters (price, distance, covered, EV, height, 24/7) and list view</t>
  </si>
  <si>
    <t xml:space="preserve">FR-5</t>
  </si>
  <si>
    <t xml:space="preserve">2.2.4</t>
  </si>
  <si>
    <t xml:space="preserve">        Facility detail page (photos, hours, entrance instructions)</t>
  </si>
  <si>
    <t xml:space="preserve">UC-2 step 4</t>
  </si>
  <si>
    <t xml:space="preserve">2.3.1</t>
  </si>
  <si>
    <t xml:space="preserve">        Deep link to Google Maps, Apple Maps and Waze with entrance coordinates</t>
  </si>
  <si>
    <t xml:space="preserve">FR-8; three platforms</t>
  </si>
  <si>
    <t xml:space="preserve">2.3.2</t>
  </si>
  <si>
    <t xml:space="preserve">        In-app fallback directions and entrance description</t>
  </si>
  <si>
    <t xml:space="preserve">UC-4 exception</t>
  </si>
  <si>
    <t xml:space="preserve">FR-9–FR-13, NFR-9/13; UC-3, UC-6, UC-7, UC-9</t>
  </si>
  <si>
    <t xml:space="preserve">3.1.1</t>
  </si>
  <si>
    <t xml:space="preserve">        Inventory hold and double-sell prevention</t>
  </si>
  <si>
    <t xml:space="preserve">FR-10; core transactional logic, highest business risk</t>
  </si>
  <si>
    <t xml:space="preserve">3.1.2</t>
  </si>
  <si>
    <t xml:space="preserve">        Hourly, daily and event booking flow with all-in price display</t>
  </si>
  <si>
    <t xml:space="preserve">UC-3; NFR-9 4-tap flow</t>
  </si>
  <si>
    <t xml:space="preserve">3.1.3</t>
  </si>
  <si>
    <t xml:space="preserve">        Cancellation-policy engine and automatic refund calculation</t>
  </si>
  <si>
    <t xml:space="preserve">FR-11; per-facility policies</t>
  </si>
  <si>
    <t xml:space="preserve">3.1.4</t>
  </si>
  <si>
    <t xml:space="preserve">        Modify or cancel reservation flow</t>
  </si>
  <si>
    <t xml:space="preserve">UC-7</t>
  </si>
  <si>
    <t xml:space="preserve">3.2.1</t>
  </si>
  <si>
    <t xml:space="preserve">        Session extension with capacity check and additional charge</t>
  </si>
  <si>
    <t xml:space="preserve">UC-6, FR-12</t>
  </si>
  <si>
    <t xml:space="preserve">3.2.2</t>
  </si>
  <si>
    <t xml:space="preserve">        Overstay rate handling and nearby alternatives</t>
  </si>
  <si>
    <t xml:space="preserve">UC-6 exception</t>
  </si>
  <si>
    <t xml:space="preserve">3.3.1</t>
  </si>
  <si>
    <t xml:space="preserve">        QR code generation with offline caching</t>
  </si>
  <si>
    <t xml:space="preserve">FR-13, NFR-13</t>
  </si>
  <si>
    <t xml:space="preserve">3.3.2</t>
  </si>
  <si>
    <t xml:space="preserve">        License-plate registration for LPR authorization</t>
  </si>
  <si>
    <t xml:space="preserve">FR-13; links to 8.2</t>
  </si>
  <si>
    <t xml:space="preserve">3.4.1</t>
  </si>
  <si>
    <t xml:space="preserve">        Permit purchase with auto-renewal terms</t>
  </si>
  <si>
    <t xml:space="preserve">UC-9; recurring billing</t>
  </si>
  <si>
    <t xml:space="preserve">3.4.2</t>
  </si>
  <si>
    <t xml:space="preserve">        Permit waitlist and 7-day renewal reminders</t>
  </si>
  <si>
    <t xml:space="preserve">UC-9 exception</t>
  </si>
  <si>
    <t xml:space="preserve">FR-14–FR-16, NFR-16; UC-8, UC-16, UC-17</t>
  </si>
  <si>
    <t xml:space="preserve">4.1.1</t>
  </si>
  <si>
    <t xml:space="preserve">        Payment-provider integration (card tokenization, PCI scope kept at provider)</t>
  </si>
  <si>
    <t xml:space="preserve">A-3, FR-14; third-party API, webhooks, failure modes</t>
  </si>
  <si>
    <t xml:space="preserve">4.1.2</t>
  </si>
  <si>
    <t xml:space="preserve">        Apple Pay and Google Pay</t>
  </si>
  <si>
    <t xml:space="preserve">Two wallet integrations with platform certification</t>
  </si>
  <si>
    <t xml:space="preserve">4.1.3</t>
  </si>
  <si>
    <t xml:space="preserve">        Saved payment methods and failed-payment retry (5-minute hold release)</t>
  </si>
  <si>
    <t xml:space="preserve">UC-3 exception</t>
  </si>
  <si>
    <t xml:space="preserve">4.2.1</t>
  </si>
  <si>
    <t xml:space="preserve">        Itemized receipt generation (in-app, email, PDF)</t>
  </si>
  <si>
    <t xml:space="preserve">FR-15, UC-8</t>
  </si>
  <si>
    <t xml:space="preserve">4.2.2</t>
  </si>
  <si>
    <t xml:space="preserve">        Reservation history with 24-month retention</t>
  </si>
  <si>
    <t xml:space="preserve">FR-15</t>
  </si>
  <si>
    <t xml:space="preserve">4.3.1</t>
  </si>
  <si>
    <t xml:space="preserve">        Refund workflow with reason, actor and second approval above limit</t>
  </si>
  <si>
    <t xml:space="preserve">UC-16, FR-16</t>
  </si>
  <si>
    <t xml:space="preserve">4.3.2</t>
  </si>
  <si>
    <t xml:space="preserve">        Daily settlement reconciliation against provider settlement file</t>
  </si>
  <si>
    <t xml:space="preserve">UC-17; file matching, discrepancy handling</t>
  </si>
  <si>
    <t xml:space="preserve">4.3.3</t>
  </si>
  <si>
    <t xml:space="preserve">        Export to accounting system</t>
  </si>
  <si>
    <t xml:space="preserve">UC-17 step 4</t>
  </si>
  <si>
    <t xml:space="preserve">FR-17–FR-20; UC-11, UC-12, UC-13, UC-15</t>
  </si>
  <si>
    <t xml:space="preserve">5.1.1</t>
  </si>
  <si>
    <t xml:space="preserve">        Add, edit and remove facility (address, capacity, hours, restrictions, amenities, entrance coordinates)</t>
  </si>
  <si>
    <t xml:space="preserve">FR-17, UC-11</t>
  </si>
  <si>
    <t xml:space="preserve">5.1.2</t>
  </si>
  <si>
    <t xml:space="preserve">        Photo and entrance-instruction upload</t>
  </si>
  <si>
    <t xml:space="preserve">UC-11 step 3</t>
  </si>
  <si>
    <t xml:space="preserve">5.1.3</t>
  </si>
  <si>
    <t xml:space="preserve">        Hardware credential linking, connection test and draft state</t>
  </si>
  <si>
    <t xml:space="preserve">UC-11 steps 4–5 and exception</t>
  </si>
  <si>
    <t xml:space="preserve">5.2.1</t>
  </si>
  <si>
    <t xml:space="preserve">        Rate schedules (hourly, daily, event, monthly) including taxes and fees</t>
  </si>
  <si>
    <t xml:space="preserve">FR-18, UC-12</t>
  </si>
  <si>
    <t xml:space="preserve">5.2.2</t>
  </si>
  <si>
    <t xml:space="preserve">        Dynamic-pricing rules with floor, ceiling and occupancy/event triggers</t>
  </si>
  <si>
    <t xml:space="preserve">FR-18; rules engine, high risk of edge cases</t>
  </si>
  <si>
    <t xml:space="preserve">5.2.3</t>
  </si>
  <si>
    <t xml:space="preserve">        Price preview and effective-date handling for existing reservations</t>
  </si>
  <si>
    <t xml:space="preserve">UC-12 steps 4–5 and exception</t>
  </si>
  <si>
    <t xml:space="preserve">5.3.1</t>
  </si>
  <si>
    <t xml:space="preserve">        Live facility and portfolio occupancy dashboard with 24-hour trend</t>
  </si>
  <si>
    <t xml:space="preserve">FR-19, UC-13</t>
  </si>
  <si>
    <t xml:space="preserve">5.3.2</t>
  </si>
  <si>
    <t xml:space="preserve">        Threshold alerts and optional pause of same-day reservations</t>
  </si>
  <si>
    <t xml:space="preserve">UC-13 steps 3–4</t>
  </si>
  <si>
    <t xml:space="preserve">5.4.1</t>
  </si>
  <si>
    <t xml:space="preserve">        Reservation search and manual override with audit trail</t>
  </si>
  <si>
    <t xml:space="preserve">FR-20</t>
  </si>
  <si>
    <t xml:space="preserve">5.4.2</t>
  </si>
  <si>
    <t xml:space="preserve">        Lane-assist view for attendants including drive-up sale</t>
  </si>
  <si>
    <t xml:space="preserve">UC-15</t>
  </si>
  <si>
    <t xml:space="preserve">FR-21, FR-25; UC-14</t>
  </si>
  <si>
    <t xml:space="preserve">6.1.1</t>
  </si>
  <si>
    <t xml:space="preserve">        Occupancy, revenue and utilization reports by facility, date range and rate type</t>
  </si>
  <si>
    <t xml:space="preserve">FR-21, UC-14; aggregation queries over large data</t>
  </si>
  <si>
    <t xml:space="preserve">6.1.2</t>
  </si>
  <si>
    <t xml:space="preserve">        CSV and PDF export</t>
  </si>
  <si>
    <t xml:space="preserve">FR-21</t>
  </si>
  <si>
    <t xml:space="preserve">6.1.3</t>
  </si>
  <si>
    <t xml:space="preserve">        Scheduled weekly email summary</t>
  </si>
  <si>
    <t xml:space="preserve">6.2.1</t>
  </si>
  <si>
    <t xml:space="preserve">        Anonymized, aggregated occupancy feed for city transportation departments</t>
  </si>
  <si>
    <t xml:space="preserve">FR-25; anonymization rules</t>
  </si>
  <si>
    <t xml:space="preserve">FR-22, FR-23; UC-10</t>
  </si>
  <si>
    <t xml:space="preserve">7.1.1</t>
  </si>
  <si>
    <t xml:space="preserve">        Multi-channel delivery service (push, SMS, email)</t>
  </si>
  <si>
    <t xml:space="preserve">Three providers, retry logic</t>
  </si>
  <si>
    <t xml:space="preserve">7.1.2</t>
  </si>
  <si>
    <t xml:space="preserve">        Driver event templates (confirmation, arrival reminder, 30/10-minute expiry, receipt)</t>
  </si>
  <si>
    <t xml:space="preserve">FR-22</t>
  </si>
  <si>
    <t xml:space="preserve">7.1.3</t>
  </si>
  <si>
    <t xml:space="preserve">        Operator integration-health alerts after 5 minutes of silence</t>
  </si>
  <si>
    <t xml:space="preserve">FR-23</t>
  </si>
  <si>
    <t xml:space="preserve">7.2.1</t>
  </si>
  <si>
    <t xml:space="preserve">        Notification preference screen (per-channel, per-event toggles)</t>
  </si>
  <si>
    <t xml:space="preserve">UC-10 — BASELINE: simplest item in the WBS</t>
  </si>
  <si>
    <t xml:space="preserve">FR-24, NFR-3/4/5/6/12/14; A-1, A-2; UC-5</t>
  </si>
  <si>
    <t xml:space="preserve">8.1.1</t>
  </si>
  <si>
    <t xml:space="preserve">        Cloud environment, containers, managed relational database and message queue</t>
  </si>
  <si>
    <t xml:space="preserve">Foundation for everything; NFR-6 scaling design</t>
  </si>
  <si>
    <t xml:space="preserve">8.1.2</t>
  </si>
  <si>
    <t xml:space="preserve">        CI/CD pipeline and dev/stage/prod environments</t>
  </si>
  <si>
    <t xml:space="preserve">Enables interleaved testing</t>
  </si>
  <si>
    <t xml:space="preserve">8.1.3</t>
  </si>
  <si>
    <t xml:space="preserve">        Monitoring, logging and uptime alerting</t>
  </si>
  <si>
    <t xml:space="preserve">NFR-4 99.9%/99.95% targets</t>
  </si>
  <si>
    <t xml:space="preserve">8.2.1</t>
  </si>
  <si>
    <t xml:space="preserve">        Public API and webhook specification for entry/exit events and entry authorization</t>
  </si>
  <si>
    <t xml:space="preserve">FR-24; documentation deliverable</t>
  </si>
  <si>
    <t xml:space="preserve">8.2.2</t>
  </si>
  <si>
    <t xml:space="preserve">        Pluggable vendor adapters for gate controllers and LPR cameras</t>
  </si>
  <si>
    <t xml:space="preserve">NFR-14, A-2; unknown vendor behaviour</t>
  </si>
  <si>
    <t xml:space="preserve">8.2.3</t>
  </si>
  <si>
    <t xml:space="preserve">        Sub-1-second entry authorization path</t>
  </si>
  <si>
    <t xml:space="preserve">NFR-3, UC-5 gate entry; performance-critical</t>
  </si>
  <si>
    <t xml:space="preserve">8.3.1</t>
  </si>
  <si>
    <t xml:space="preserve">        Local event buffering (24 hours) and synchronization on reconnect</t>
  </si>
  <si>
    <t xml:space="preserve">NFR-5, A-1; distributed-systems risk</t>
  </si>
  <si>
    <t xml:space="preserve">8.3.2</t>
  </si>
  <si>
    <t xml:space="preserve">        Occupancy sensor ingestion</t>
  </si>
  <si>
    <t xml:space="preserve">FR-7</t>
  </si>
  <si>
    <t xml:space="preserve">8.4.1</t>
  </si>
  <si>
    <t xml:space="preserve">        iOS application shell and App Store setup</t>
  </si>
  <si>
    <t xml:space="preserve">NFR-12</t>
  </si>
  <si>
    <t xml:space="preserve">8.4.2</t>
  </si>
  <si>
    <t xml:space="preserve">        Android application shell and Google Play setup</t>
  </si>
  <si>
    <t xml:space="preserve">8.4.3</t>
  </si>
  <si>
    <t xml:space="preserve">        Responsive web SPA shell with accessibility baseline (WCAG 2.1 AA)</t>
  </si>
  <si>
    <t xml:space="preserve">NFR-11/12</t>
  </si>
  <si>
    <t xml:space="preserve">NFR-6/10/11/14; A-5</t>
  </si>
  <si>
    <t xml:space="preserve">9.1.1</t>
  </si>
  <si>
    <t xml:space="preserve">        Unit-test framework with 80% coverage gate in CI</t>
  </si>
  <si>
    <t xml:space="preserve">NFR-14; runs from sprint 1 (lecture: unit tests as safety net)</t>
  </si>
  <si>
    <t xml:space="preserve">9.1.2</t>
  </si>
  <si>
    <t xml:space="preserve">        Integration test suite (payments, hardware adapters, notifications)</t>
  </si>
  <si>
    <t xml:space="preserve">Third-party sandboxes, hardware simulators</t>
  </si>
  <si>
    <t xml:space="preserve">9.1.3</t>
  </si>
  <si>
    <t xml:space="preserve">        End-to-end device test suite (iOS, Android, web)</t>
  </si>
  <si>
    <t xml:space="preserve">Device farm, three platforms</t>
  </si>
  <si>
    <t xml:space="preserve">9.2.1</t>
  </si>
  <si>
    <t xml:space="preserve">        Stress-test harness (10,000 concurrent users, 500 facilities)</t>
  </si>
  <si>
    <t xml:space="preserve">NFR-6; lecture: 'stress test harness' before launch</t>
  </si>
  <si>
    <t xml:space="preserve">9.2.2</t>
  </si>
  <si>
    <t xml:space="preserve">        Security review, PCI-scope confirmation and penetration test</t>
  </si>
  <si>
    <t xml:space="preserve">NFR-7; external firm</t>
  </si>
  <si>
    <t xml:space="preserve">9.2.3</t>
  </si>
  <si>
    <t xml:space="preserve">        Accessibility and usability testing (8 of 10 first-time users)</t>
  </si>
  <si>
    <t xml:space="preserve">NFR-10/11</t>
  </si>
  <si>
    <t xml:space="preserve">9.3.1</t>
  </si>
  <si>
    <t xml:space="preserve">        Pilot at two client facilities with beta feedback loop</t>
  </si>
  <si>
    <t xml:space="preserve">Lecture: iterate on real feedback before big-bang launch</t>
  </si>
  <si>
    <t xml:space="preserve">9.3.2</t>
  </si>
  <si>
    <t xml:space="preserve">        Client facility data onboarding (14 facilities) and staff training</t>
  </si>
  <si>
    <t xml:space="preserve">A-5 two-week data buffer</t>
  </si>
  <si>
    <t xml:space="preserve">9.3.3</t>
  </si>
  <si>
    <t xml:space="preserve">        Production launch, app-store publication and handover documentation</t>
  </si>
  <si>
    <t xml:space="preserve">Final delivery milestone</t>
  </si>
  <si>
    <t xml:space="preserve">TOTAL STORY POINTS</t>
  </si>
  <si>
    <t xml:space="preserve">Story points are relative (Fibonacci 1-2-3-5-8-13) and weigh complexity, risk and effort against baseline item 7.2.1 = 1 SP. Blue cells are editable.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</si>
</sst>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"/>
    <numFmt numFmtId="166" formatCode="yyyy\-mm\-dd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B8412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D9E2EC"/>
        <bgColor rgb="FFDDDDDD"/>
      </patternFill>
    </fill>
    <fill>
      <patternFill patternType="solid">
        <fgColor rgb="FFFFFF99"/>
        <bgColor rgb="FFF4F1DE"/>
      </patternFill>
    </fill>
    <fill>
      <patternFill patternType="solid">
        <fgColor rgb="FFC9D6E3"/>
        <bgColor rgb="FFDDDDDD"/>
      </patternFill>
    </fill>
    <fill>
      <patternFill patternType="solid">
        <fgColor rgb="FFE8EEF5"/>
        <bgColor rgb="FFF4F1D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B8412F"/>
        </patternFill>
      </fill>
    </dxf>
    <dxf>
      <fill>
        <patternFill>
          <bgColor rgb="FF7A5CA8"/>
        </patternFill>
      </fill>
    </dxf>
    <dxf>
      <fill>
        <patternFill>
          <bgColor rgb="FFE0A030"/>
        </patternFill>
      </fill>
    </dxf>
    <dxf>
      <fill>
        <patternFill>
          <bgColor rgb="FF9E9E9E"/>
        </patternFill>
      </fill>
    </dxf>
    <dxf>
      <fill>
        <patternFill>
          <bgColor rgb="FF1F3B57"/>
        </patternFill>
      </fill>
    </dxf>
    <dxf>
      <fill>
        <patternFill>
          <bgColor rgb="FF3A9A6E"/>
        </patternFill>
      </fill>
    </dxf>
    <dxf>
      <fill>
        <patternFill>
          <bgColor rgb="FF2E6FAB"/>
        </patternFill>
      </fill>
    </dxf>
    <dxf>
      <fill>
        <patternFill>
          <bgColor rgb="FFF4F1D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1DE"/>
      <rgbColor rgb="FFE8EEF5"/>
      <rgbColor rgb="FF660066"/>
      <rgbColor rgb="FFFF8080"/>
      <rgbColor rgb="FF2E6FAB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C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A030"/>
      <rgbColor rgb="FFFF6600"/>
      <rgbColor rgb="FF7A5CA8"/>
      <rgbColor rgb="FF9E9E9E"/>
      <rgbColor rgb="FF003366"/>
      <rgbColor rgb="FF3A9A6E"/>
      <rgbColor rgb="FF003300"/>
      <rgbColor rgb="FF333300"/>
      <rgbColor rgb="FFB8412F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42" min="11" style="0" width="3.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K3" s="3" t="s">
        <v>2</v>
      </c>
      <c r="L3" s="3"/>
      <c r="M3" s="3"/>
      <c r="N3" s="3"/>
      <c r="O3" s="3" t="s">
        <v>3</v>
      </c>
      <c r="P3" s="3"/>
      <c r="Q3" s="3"/>
      <c r="R3" s="3"/>
      <c r="S3" s="3" t="s">
        <v>4</v>
      </c>
      <c r="T3" s="3"/>
      <c r="U3" s="3"/>
      <c r="V3" s="3"/>
      <c r="W3" s="3"/>
      <c r="X3" s="3" t="s">
        <v>5</v>
      </c>
      <c r="Y3" s="3"/>
      <c r="Z3" s="3"/>
      <c r="AA3" s="3"/>
      <c r="AB3" s="3" t="s">
        <v>6</v>
      </c>
      <c r="AC3" s="3"/>
      <c r="AD3" s="3"/>
      <c r="AE3" s="3"/>
      <c r="AF3" s="3" t="s">
        <v>7</v>
      </c>
      <c r="AG3" s="3"/>
      <c r="AH3" s="3"/>
      <c r="AI3" s="3"/>
      <c r="AJ3" s="3" t="s">
        <v>8</v>
      </c>
      <c r="AK3" s="3"/>
      <c r="AL3" s="3"/>
      <c r="AM3" s="3"/>
      <c r="AN3" s="3"/>
      <c r="AO3" s="3" t="s">
        <v>9</v>
      </c>
      <c r="AP3" s="3"/>
    </row>
    <row r="4" customFormat="false" ht="33.75" hidden="false" customHeight="tru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5" t="n">
        <v>46272</v>
      </c>
      <c r="L4" s="5" t="n">
        <v>46279</v>
      </c>
      <c r="M4" s="5" t="n">
        <v>46286</v>
      </c>
      <c r="N4" s="5" t="n">
        <v>46293</v>
      </c>
      <c r="O4" s="5" t="n">
        <v>46300</v>
      </c>
      <c r="P4" s="5" t="n">
        <v>46307</v>
      </c>
      <c r="Q4" s="5" t="n">
        <v>46314</v>
      </c>
      <c r="R4" s="5" t="n">
        <v>46321</v>
      </c>
      <c r="S4" s="5" t="n">
        <v>46328</v>
      </c>
      <c r="T4" s="5" t="n">
        <v>46335</v>
      </c>
      <c r="U4" s="5" t="n">
        <v>46342</v>
      </c>
      <c r="V4" s="5" t="n">
        <v>46349</v>
      </c>
      <c r="W4" s="5" t="n">
        <v>46356</v>
      </c>
      <c r="X4" s="5" t="n">
        <v>46363</v>
      </c>
      <c r="Y4" s="5" t="n">
        <v>46370</v>
      </c>
      <c r="Z4" s="5" t="n">
        <v>46377</v>
      </c>
      <c r="AA4" s="5" t="n">
        <v>46384</v>
      </c>
      <c r="AB4" s="5" t="n">
        <v>46391</v>
      </c>
      <c r="AC4" s="5" t="n">
        <v>46398</v>
      </c>
      <c r="AD4" s="5" t="n">
        <v>46405</v>
      </c>
      <c r="AE4" s="5" t="n">
        <v>46412</v>
      </c>
      <c r="AF4" s="5" t="n">
        <v>46419</v>
      </c>
      <c r="AG4" s="5" t="n">
        <v>46426</v>
      </c>
      <c r="AH4" s="5" t="n">
        <v>46433</v>
      </c>
      <c r="AI4" s="5" t="n">
        <v>46440</v>
      </c>
      <c r="AJ4" s="5" t="n">
        <v>46447</v>
      </c>
      <c r="AK4" s="5" t="n">
        <v>46454</v>
      </c>
      <c r="AL4" s="5" t="n">
        <v>46461</v>
      </c>
      <c r="AM4" s="5" t="n">
        <v>46468</v>
      </c>
      <c r="AN4" s="5" t="n">
        <v>46475</v>
      </c>
      <c r="AO4" s="5" t="n">
        <v>46482</v>
      </c>
      <c r="AP4" s="5" t="n">
        <v>46489</v>
      </c>
    </row>
    <row r="5" customFormat="false" ht="15" hidden="false" customHeight="false" outlineLevel="0" collapsed="false">
      <c r="A5" s="6" t="s">
        <v>20</v>
      </c>
      <c r="B5" s="7" t="s">
        <v>21</v>
      </c>
      <c r="C5" s="6" t="s">
        <v>22</v>
      </c>
      <c r="D5" s="6"/>
      <c r="E5" s="6"/>
      <c r="F5" s="6" t="n">
        <v>0</v>
      </c>
      <c r="G5" s="8" t="n">
        <v>46273</v>
      </c>
      <c r="H5" s="8" t="n">
        <f aca="false">G5</f>
        <v>46273</v>
      </c>
      <c r="I5" s="6"/>
      <c r="J5" s="6" t="s">
        <v>23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customFormat="false" ht="15" hidden="false" customHeight="false" outlineLevel="0" collapsed="false">
      <c r="A6" s="6" t="s">
        <v>24</v>
      </c>
      <c r="B6" s="7" t="s">
        <v>25</v>
      </c>
      <c r="C6" s="6" t="s">
        <v>26</v>
      </c>
      <c r="D6" s="6"/>
      <c r="E6" s="6"/>
      <c r="F6" s="6" t="n">
        <v>0</v>
      </c>
      <c r="G6" s="8" t="n">
        <f aca="false">H11</f>
        <v>46311</v>
      </c>
      <c r="H6" s="8" t="n">
        <f aca="false">G6</f>
        <v>46311</v>
      </c>
      <c r="I6" s="6" t="s">
        <v>27</v>
      </c>
      <c r="J6" s="6" t="s">
        <v>23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customFormat="false" ht="15" hidden="false" customHeight="false" outlineLevel="0" collapsed="false">
      <c r="A7" s="6" t="s">
        <v>28</v>
      </c>
      <c r="B7" s="7" t="s">
        <v>29</v>
      </c>
      <c r="C7" s="6" t="s">
        <v>26</v>
      </c>
      <c r="D7" s="6"/>
      <c r="E7" s="6"/>
      <c r="F7" s="6" t="n">
        <v>0</v>
      </c>
      <c r="G7" s="8" t="n">
        <f aca="false">H51</f>
        <v>46435</v>
      </c>
      <c r="H7" s="8" t="n">
        <f aca="false">G7</f>
        <v>46435</v>
      </c>
      <c r="I7" s="6" t="s">
        <v>30</v>
      </c>
      <c r="J7" s="6" t="s">
        <v>23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customFormat="false" ht="15" hidden="false" customHeight="false" outlineLevel="0" collapsed="false">
      <c r="A8" s="6" t="s">
        <v>31</v>
      </c>
      <c r="B8" s="7" t="s">
        <v>32</v>
      </c>
      <c r="C8" s="6" t="s">
        <v>26</v>
      </c>
      <c r="D8" s="6"/>
      <c r="E8" s="6"/>
      <c r="F8" s="6" t="n">
        <v>0</v>
      </c>
      <c r="G8" s="8" t="n">
        <f aca="false">H52</f>
        <v>46449</v>
      </c>
      <c r="H8" s="8" t="n">
        <f aca="false">G8</f>
        <v>46449</v>
      </c>
      <c r="I8" s="6" t="s">
        <v>33</v>
      </c>
      <c r="J8" s="6" t="s">
        <v>23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customFormat="false" ht="15" hidden="false" customHeight="false" outlineLevel="0" collapsed="false">
      <c r="A9" s="6" t="s">
        <v>34</v>
      </c>
      <c r="B9" s="7" t="s">
        <v>35</v>
      </c>
      <c r="C9" s="6" t="s">
        <v>26</v>
      </c>
      <c r="D9" s="6"/>
      <c r="E9" s="6"/>
      <c r="F9" s="6" t="n">
        <v>0</v>
      </c>
      <c r="G9" s="8" t="n">
        <f aca="false">H53</f>
        <v>46482</v>
      </c>
      <c r="H9" s="8" t="n">
        <f aca="false">G9</f>
        <v>46482</v>
      </c>
      <c r="I9" s="6" t="s">
        <v>36</v>
      </c>
      <c r="J9" s="6" t="s">
        <v>23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customFormat="false" ht="26.85" hidden="false" customHeight="false" outlineLevel="0" collapsed="false">
      <c r="A10" s="10" t="s">
        <v>37</v>
      </c>
      <c r="B10" s="11" t="s">
        <v>38</v>
      </c>
      <c r="C10" s="10" t="s">
        <v>39</v>
      </c>
      <c r="D10" s="10"/>
      <c r="E10" s="10"/>
      <c r="F10" s="12" t="n">
        <v>24</v>
      </c>
      <c r="G10" s="13" t="n">
        <v>46273</v>
      </c>
      <c r="H10" s="14" t="n">
        <f aca="false">WORKDAY(G10,F10-1,Assumptions!$A$23:$A$30)</f>
        <v>46304</v>
      </c>
      <c r="I10" s="10" t="s">
        <v>40</v>
      </c>
      <c r="J10" s="10" t="s">
        <v>41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customFormat="false" ht="15" hidden="false" customHeight="false" outlineLevel="0" collapsed="false">
      <c r="A11" s="10" t="s">
        <v>42</v>
      </c>
      <c r="B11" s="11" t="s">
        <v>43</v>
      </c>
      <c r="C11" s="10" t="s">
        <v>44</v>
      </c>
      <c r="D11" s="10"/>
      <c r="E11" s="10"/>
      <c r="F11" s="12" t="n">
        <v>20</v>
      </c>
      <c r="G11" s="13" t="n">
        <v>46286</v>
      </c>
      <c r="H11" s="14" t="n">
        <f aca="false">WORKDAY(G11,F11-1,Assumptions!$A$23:$A$30)</f>
        <v>46311</v>
      </c>
      <c r="I11" s="10" t="s">
        <v>45</v>
      </c>
      <c r="J11" s="10" t="s">
        <v>41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customFormat="false" ht="15" hidden="false" customHeight="false" outlineLevel="0" collapsed="false">
      <c r="A12" s="15" t="s">
        <v>46</v>
      </c>
      <c r="B12" s="16" t="s">
        <v>47</v>
      </c>
      <c r="C12" s="15"/>
      <c r="D12" s="15"/>
      <c r="E12" s="15" t="n">
        <f aca="false">SUM(E13,E14,E15,E16)</f>
        <v>50</v>
      </c>
      <c r="F12" s="15"/>
      <c r="G12" s="17" t="n">
        <f aca="false">MIN(G13,G14,G15,G16)</f>
        <v>46330</v>
      </c>
      <c r="H12" s="17" t="n">
        <f aca="false">MAX(H13,H14,H15,H16)</f>
        <v>46370</v>
      </c>
      <c r="I12" s="15"/>
      <c r="J12" s="15" t="s">
        <v>48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customFormat="false" ht="15" hidden="false" customHeight="false" outlineLevel="0" collapsed="false">
      <c r="A13" s="10" t="s">
        <v>49</v>
      </c>
      <c r="B13" s="11" t="s">
        <v>50</v>
      </c>
      <c r="C13" s="10" t="s">
        <v>51</v>
      </c>
      <c r="D13" s="12" t="n">
        <v>3</v>
      </c>
      <c r="E13" s="10" t="n">
        <f aca="false">WBS!D3</f>
        <v>13</v>
      </c>
      <c r="F13" s="10" t="n">
        <f aca="false">ROUNDUP(E13*Assumptions!$B$4/D13,0)</f>
        <v>9</v>
      </c>
      <c r="G13" s="14" t="n">
        <f aca="false">WORKDAY(MAX(Assumptions!$B$5,WORKDAY($H$42,1,Assumptions!$A$23:$A$30))-1,1,Assumptions!$A$23:$A$30)</f>
        <v>46330</v>
      </c>
      <c r="H13" s="14" t="n">
        <f aca="false">WORKDAY(G13,F13-1,Assumptions!$A$23:$A$30)</f>
        <v>46342</v>
      </c>
      <c r="I13" s="10" t="s">
        <v>52</v>
      </c>
      <c r="J13" s="10" t="s">
        <v>53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customFormat="false" ht="15" hidden="false" customHeight="false" outlineLevel="0" collapsed="false">
      <c r="A14" s="10" t="s">
        <v>54</v>
      </c>
      <c r="B14" s="11" t="s">
        <v>55</v>
      </c>
      <c r="C14" s="10" t="s">
        <v>51</v>
      </c>
      <c r="D14" s="12" t="n">
        <v>3</v>
      </c>
      <c r="E14" s="10" t="n">
        <f aca="false">WBS!D8</f>
        <v>15</v>
      </c>
      <c r="F14" s="10" t="n">
        <f aca="false">ROUNDUP(E14*Assumptions!$B$4/D14,0)</f>
        <v>10</v>
      </c>
      <c r="G14" s="14" t="n">
        <f aca="false">WORKDAY(MAX(Assumptions!$B$5,WORKDAY($H$13,1,Assumptions!$A$23:$A$30))-1,1,Assumptions!$A$23:$A$30)</f>
        <v>46343</v>
      </c>
      <c r="H14" s="14" t="n">
        <f aca="false">WORKDAY(G14,F14-1,Assumptions!$A$23:$A$30)</f>
        <v>46358</v>
      </c>
      <c r="I14" s="10" t="s">
        <v>56</v>
      </c>
      <c r="J14" s="10" t="s">
        <v>53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customFormat="false" ht="15" hidden="false" customHeight="false" outlineLevel="0" collapsed="false">
      <c r="A15" s="10" t="s">
        <v>57</v>
      </c>
      <c r="B15" s="11" t="s">
        <v>58</v>
      </c>
      <c r="C15" s="10" t="s">
        <v>59</v>
      </c>
      <c r="D15" s="12" t="n">
        <v>2</v>
      </c>
      <c r="E15" s="10" t="n">
        <f aca="false">WBS!D13</f>
        <v>11</v>
      </c>
      <c r="F15" s="10" t="n">
        <f aca="false">ROUNDUP(E15*Assumptions!$B$4/D15,0)</f>
        <v>11</v>
      </c>
      <c r="G15" s="14" t="n">
        <f aca="false">WORKDAY(MAX(Assumptions!$B$5,WORKDAY($H$27,1,Assumptions!$A$23:$A$30),WORKDAY($H$13,1,Assumptions!$A$23:$A$30))-1,1,Assumptions!$A$23:$A$30)</f>
        <v>46356</v>
      </c>
      <c r="H15" s="14" t="n">
        <f aca="false">WORKDAY(G15,F15-1,Assumptions!$A$23:$A$30)</f>
        <v>46370</v>
      </c>
      <c r="I15" s="10" t="s">
        <v>60</v>
      </c>
      <c r="J15" s="10" t="s">
        <v>61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customFormat="false" ht="15" hidden="false" customHeight="false" outlineLevel="0" collapsed="false">
      <c r="A16" s="10" t="s">
        <v>62</v>
      </c>
      <c r="B16" s="11" t="s">
        <v>63</v>
      </c>
      <c r="C16" s="10" t="s">
        <v>59</v>
      </c>
      <c r="D16" s="12" t="n">
        <v>2</v>
      </c>
      <c r="E16" s="10" t="n">
        <f aca="false">WBS!D17</f>
        <v>11</v>
      </c>
      <c r="F16" s="10" t="n">
        <f aca="false">ROUNDUP(E16*Assumptions!$B$4/D16,0)</f>
        <v>11</v>
      </c>
      <c r="G16" s="14" t="n">
        <f aca="false">WORKDAY(MAX(Assumptions!$B$5,$G$14)-1,1,Assumptions!$A$23:$A$30)</f>
        <v>46343</v>
      </c>
      <c r="H16" s="14" t="n">
        <f aca="false">WORKDAY(G16,F16-1,Assumptions!$A$23:$A$30)</f>
        <v>46359</v>
      </c>
      <c r="I16" s="10" t="s">
        <v>64</v>
      </c>
      <c r="J16" s="10" t="s">
        <v>61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customFormat="false" ht="15" hidden="false" customHeight="false" outlineLevel="0" collapsed="false">
      <c r="A17" s="15" t="s">
        <v>65</v>
      </c>
      <c r="B17" s="16" t="s">
        <v>66</v>
      </c>
      <c r="C17" s="15"/>
      <c r="D17" s="15"/>
      <c r="E17" s="15" t="n">
        <f aca="false">SUM(E18,E19,E20)</f>
        <v>33</v>
      </c>
      <c r="F17" s="15"/>
      <c r="G17" s="17" t="n">
        <f aca="false">MIN(G18,G19,G20)</f>
        <v>46346</v>
      </c>
      <c r="H17" s="17" t="n">
        <f aca="false">MAX(H18,H19,H20)</f>
        <v>46366</v>
      </c>
      <c r="I17" s="15"/>
      <c r="J17" s="15" t="s">
        <v>48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customFormat="false" ht="15" hidden="false" customHeight="false" outlineLevel="0" collapsed="false">
      <c r="A18" s="10" t="s">
        <v>67</v>
      </c>
      <c r="B18" s="11" t="s">
        <v>68</v>
      </c>
      <c r="C18" s="10" t="s">
        <v>69</v>
      </c>
      <c r="D18" s="12" t="n">
        <v>3</v>
      </c>
      <c r="E18" s="10" t="n">
        <f aca="false">WBS!D22</f>
        <v>13</v>
      </c>
      <c r="F18" s="10" t="n">
        <f aca="false">ROUNDUP(E18*Assumptions!$B$4/D18,0)</f>
        <v>9</v>
      </c>
      <c r="G18" s="14" t="n">
        <f aca="false">WORKDAY(MAX(Assumptions!$B$5,WORKDAY($H$43,1,Assumptions!$A$23:$A$30))-1,1,Assumptions!$A$23:$A$30)</f>
        <v>46346</v>
      </c>
      <c r="H18" s="14" t="n">
        <f aca="false">WORKDAY(G18,F18-1,Assumptions!$A$23:$A$30)</f>
        <v>46360</v>
      </c>
      <c r="I18" s="10" t="s">
        <v>70</v>
      </c>
      <c r="J18" s="10" t="s">
        <v>53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customFormat="false" ht="15" hidden="false" customHeight="false" outlineLevel="0" collapsed="false">
      <c r="A19" s="10" t="s">
        <v>71</v>
      </c>
      <c r="B19" s="11" t="s">
        <v>72</v>
      </c>
      <c r="C19" s="10" t="s">
        <v>73</v>
      </c>
      <c r="D19" s="12" t="n">
        <v>4</v>
      </c>
      <c r="E19" s="10" t="n">
        <f aca="false">WBS!D26</f>
        <v>15</v>
      </c>
      <c r="F19" s="10" t="n">
        <f aca="false">ROUNDUP(E19*Assumptions!$B$4/D19,0)</f>
        <v>8</v>
      </c>
      <c r="G19" s="14" t="n">
        <f aca="false">WORKDAY(MAX(Assumptions!$B$5,WORKDAY($H$45,1,Assumptions!$A$23:$A$30),$G$18)-1,1,Assumptions!$A$23:$A$30)</f>
        <v>46346</v>
      </c>
      <c r="H19" s="14" t="n">
        <f aca="false">WORKDAY(G19,F19-1,Assumptions!$A$23:$A$30)</f>
        <v>46359</v>
      </c>
      <c r="I19" s="10" t="s">
        <v>74</v>
      </c>
      <c r="J19" s="10" t="s">
        <v>53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customFormat="false" ht="15" hidden="false" customHeight="false" outlineLevel="0" collapsed="false">
      <c r="A20" s="10" t="s">
        <v>75</v>
      </c>
      <c r="B20" s="11" t="s">
        <v>76</v>
      </c>
      <c r="C20" s="10" t="s">
        <v>77</v>
      </c>
      <c r="D20" s="12" t="n">
        <v>2</v>
      </c>
      <c r="E20" s="10" t="n">
        <f aca="false">WBS!D31</f>
        <v>5</v>
      </c>
      <c r="F20" s="10" t="n">
        <f aca="false">ROUNDUP(E20*Assumptions!$B$4/D20,0)</f>
        <v>5</v>
      </c>
      <c r="G20" s="14" t="n">
        <f aca="false">WORKDAY(MAX(Assumptions!$B$5,WORKDAY($H$19,1,Assumptions!$A$23:$A$30))-1,1,Assumptions!$A$23:$A$30)</f>
        <v>46360</v>
      </c>
      <c r="H20" s="14" t="n">
        <f aca="false">WORKDAY(G20,F20-1,Assumptions!$A$23:$A$30)</f>
        <v>46366</v>
      </c>
      <c r="I20" s="10" t="s">
        <v>78</v>
      </c>
      <c r="J20" s="10" t="s">
        <v>53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customFormat="false" ht="15" hidden="false" customHeight="false" outlineLevel="0" collapsed="false">
      <c r="A21" s="15" t="s">
        <v>79</v>
      </c>
      <c r="B21" s="16" t="s">
        <v>80</v>
      </c>
      <c r="C21" s="15"/>
      <c r="D21" s="15"/>
      <c r="E21" s="15" t="n">
        <f aca="false">SUM(E22,E23,E24,E25)</f>
        <v>43</v>
      </c>
      <c r="F21" s="15"/>
      <c r="G21" s="17" t="n">
        <f aca="false">MIN(G22,G23,G24,G25)</f>
        <v>46392</v>
      </c>
      <c r="H21" s="17" t="n">
        <f aca="false">MAX(H22,H23,H24,H25)</f>
        <v>46421</v>
      </c>
      <c r="I21" s="15"/>
      <c r="J21" s="15" t="s">
        <v>48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customFormat="false" ht="15" hidden="false" customHeight="false" outlineLevel="0" collapsed="false">
      <c r="A22" s="10" t="s">
        <v>81</v>
      </c>
      <c r="B22" s="11" t="s">
        <v>82</v>
      </c>
      <c r="C22" s="10" t="s">
        <v>83</v>
      </c>
      <c r="D22" s="12" t="n">
        <v>4</v>
      </c>
      <c r="E22" s="10" t="n">
        <f aca="false">WBS!D35</f>
        <v>21</v>
      </c>
      <c r="F22" s="10" t="n">
        <f aca="false">ROUNDUP(E22*Assumptions!$B$4/D22,0)</f>
        <v>11</v>
      </c>
      <c r="G22" s="14" t="n">
        <f aca="false">WORKDAY(MAX(Assumptions!$B$5,WORKDAY($H$32,1,Assumptions!$A$23:$A$30),WORKDAY($H$19,1,Assumptions!$A$23:$A$30),WORKDAY($H$27,1,Assumptions!$A$23:$A$30))-1,1,Assumptions!$A$23:$A$30)</f>
        <v>46392</v>
      </c>
      <c r="H22" s="14" t="n">
        <f aca="false">WORKDAY(G22,F22-1,Assumptions!$A$23:$A$30)</f>
        <v>46407</v>
      </c>
      <c r="I22" s="10" t="s">
        <v>84</v>
      </c>
      <c r="J22" s="10" t="s">
        <v>53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customFormat="false" ht="15" hidden="false" customHeight="false" outlineLevel="0" collapsed="false">
      <c r="A23" s="10" t="s">
        <v>85</v>
      </c>
      <c r="B23" s="11" t="s">
        <v>86</v>
      </c>
      <c r="C23" s="10" t="s">
        <v>83</v>
      </c>
      <c r="D23" s="12" t="n">
        <v>3</v>
      </c>
      <c r="E23" s="10" t="n">
        <f aca="false">WBS!D40</f>
        <v>8</v>
      </c>
      <c r="F23" s="10" t="n">
        <f aca="false">ROUNDUP(E23*Assumptions!$B$4/D23,0)</f>
        <v>6</v>
      </c>
      <c r="G23" s="14" t="n">
        <f aca="false">WORKDAY(MAX(Assumptions!$B$5,WORKDAY($H$24,1,Assumptions!$A$23:$A$30))-1,1,Assumptions!$A$23:$A$30)</f>
        <v>46414</v>
      </c>
      <c r="H23" s="14" t="n">
        <f aca="false">WORKDAY(G23,F23-1,Assumptions!$A$23:$A$30)</f>
        <v>46421</v>
      </c>
      <c r="I23" s="10" t="s">
        <v>87</v>
      </c>
      <c r="J23" s="10" t="s">
        <v>61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customFormat="false" ht="15" hidden="false" customHeight="false" outlineLevel="0" collapsed="false">
      <c r="A24" s="10" t="s">
        <v>88</v>
      </c>
      <c r="B24" s="11" t="s">
        <v>89</v>
      </c>
      <c r="C24" s="10" t="s">
        <v>83</v>
      </c>
      <c r="D24" s="12" t="n">
        <v>3</v>
      </c>
      <c r="E24" s="10" t="n">
        <f aca="false">WBS!D43</f>
        <v>6</v>
      </c>
      <c r="F24" s="10" t="n">
        <f aca="false">ROUNDUP(E24*Assumptions!$B$4/D24,0)</f>
        <v>4</v>
      </c>
      <c r="G24" s="14" t="n">
        <f aca="false">WORKDAY(MAX(Assumptions!$B$5,WORKDAY($H$22,1,Assumptions!$A$23:$A$30),WORKDAY($H$43,1,Assumptions!$A$23:$A$30))-1,1,Assumptions!$A$23:$A$30)</f>
        <v>46408</v>
      </c>
      <c r="H24" s="14" t="n">
        <f aca="false">WORKDAY(G24,F24-1,Assumptions!$A$23:$A$30)</f>
        <v>46413</v>
      </c>
      <c r="I24" s="10" t="s">
        <v>90</v>
      </c>
      <c r="J24" s="10" t="s">
        <v>53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customFormat="false" ht="15" hidden="false" customHeight="false" outlineLevel="0" collapsed="false">
      <c r="A25" s="10" t="s">
        <v>91</v>
      </c>
      <c r="B25" s="11" t="s">
        <v>92</v>
      </c>
      <c r="C25" s="10" t="s">
        <v>83</v>
      </c>
      <c r="D25" s="12" t="n">
        <v>3</v>
      </c>
      <c r="E25" s="10" t="n">
        <f aca="false">WBS!D46</f>
        <v>8</v>
      </c>
      <c r="F25" s="10" t="n">
        <f aca="false">ROUNDUP(E25*Assumptions!$B$4/D25,0)</f>
        <v>6</v>
      </c>
      <c r="G25" s="14" t="n">
        <f aca="false">WORKDAY(MAX(Assumptions!$B$5,WORKDAY($H$22,1,Assumptions!$A$23:$A$30))-1,1,Assumptions!$A$23:$A$30)</f>
        <v>46408</v>
      </c>
      <c r="H25" s="14" t="n">
        <f aca="false">WORKDAY(G25,F25-1,Assumptions!$A$23:$A$30)</f>
        <v>46415</v>
      </c>
      <c r="I25" s="10" t="s">
        <v>93</v>
      </c>
      <c r="J25" s="10" t="s">
        <v>61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customFormat="false" ht="15" hidden="false" customHeight="false" outlineLevel="0" collapsed="false">
      <c r="A26" s="15" t="s">
        <v>94</v>
      </c>
      <c r="B26" s="16" t="s">
        <v>95</v>
      </c>
      <c r="C26" s="15"/>
      <c r="D26" s="15"/>
      <c r="E26" s="15" t="n">
        <f aca="false">SUM(E27,E28,E29)</f>
        <v>37</v>
      </c>
      <c r="F26" s="15"/>
      <c r="G26" s="17" t="n">
        <f aca="false">MIN(G27,G28,G29)</f>
        <v>46330</v>
      </c>
      <c r="H26" s="17" t="n">
        <f aca="false">MAX(H27,H28,H29)</f>
        <v>46428</v>
      </c>
      <c r="I26" s="15"/>
      <c r="J26" s="15" t="s">
        <v>48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customFormat="false" ht="15" hidden="false" customHeight="false" outlineLevel="0" collapsed="false">
      <c r="A27" s="10" t="s">
        <v>96</v>
      </c>
      <c r="B27" s="11" t="s">
        <v>97</v>
      </c>
      <c r="C27" s="10" t="s">
        <v>98</v>
      </c>
      <c r="D27" s="12" t="n">
        <v>2</v>
      </c>
      <c r="E27" s="10" t="n">
        <f aca="false">WBS!D50</f>
        <v>16</v>
      </c>
      <c r="F27" s="10" t="n">
        <f aca="false">ROUNDUP(E27*Assumptions!$B$4/D27,0)</f>
        <v>16</v>
      </c>
      <c r="G27" s="14" t="n">
        <f aca="false">WORKDAY(MAX(Assumptions!$B$5,WORKDAY($H$42,1,Assumptions!$A$23:$A$30))-1,1,Assumptions!$A$23:$A$30)</f>
        <v>46330</v>
      </c>
      <c r="H27" s="14" t="n">
        <f aca="false">WORKDAY(G27,F27-1,Assumptions!$A$23:$A$30)</f>
        <v>46351</v>
      </c>
      <c r="I27" s="10" t="s">
        <v>52</v>
      </c>
      <c r="J27" s="10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customFormat="false" ht="15" hidden="false" customHeight="false" outlineLevel="0" collapsed="false">
      <c r="A28" s="10" t="s">
        <v>99</v>
      </c>
      <c r="B28" s="11" t="s">
        <v>100</v>
      </c>
      <c r="C28" s="10" t="s">
        <v>101</v>
      </c>
      <c r="D28" s="12" t="n">
        <v>3</v>
      </c>
      <c r="E28" s="10" t="n">
        <f aca="false">WBS!D54</f>
        <v>5</v>
      </c>
      <c r="F28" s="10" t="n">
        <f aca="false">ROUNDUP(E28*Assumptions!$B$4/D28,0)</f>
        <v>4</v>
      </c>
      <c r="G28" s="14" t="n">
        <f aca="false">WORKDAY(MAX(Assumptions!$B$5,WORKDAY($H$22,1,Assumptions!$A$23:$A$30))-1,1,Assumptions!$A$23:$A$30)</f>
        <v>46408</v>
      </c>
      <c r="H28" s="14" t="n">
        <f aca="false">WORKDAY(G28,F28-1,Assumptions!$A$23:$A$30)</f>
        <v>46413</v>
      </c>
      <c r="I28" s="10" t="s">
        <v>93</v>
      </c>
      <c r="J28" s="10" t="s">
        <v>61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customFormat="false" ht="15" hidden="false" customHeight="false" outlineLevel="0" collapsed="false">
      <c r="A29" s="10" t="s">
        <v>102</v>
      </c>
      <c r="B29" s="11" t="s">
        <v>103</v>
      </c>
      <c r="C29" s="10" t="s">
        <v>104</v>
      </c>
      <c r="D29" s="12" t="n">
        <v>3</v>
      </c>
      <c r="E29" s="10" t="n">
        <f aca="false">WBS!D57</f>
        <v>16</v>
      </c>
      <c r="F29" s="10" t="n">
        <f aca="false">ROUNDUP(E29*Assumptions!$B$4/D29,0)</f>
        <v>11</v>
      </c>
      <c r="G29" s="14" t="n">
        <f aca="false">WORKDAY(MAX(Assumptions!$B$5,WORKDAY($H$28,1,Assumptions!$A$23:$A$30))-1,1,Assumptions!$A$23:$A$30)</f>
        <v>46414</v>
      </c>
      <c r="H29" s="14" t="n">
        <f aca="false">WORKDAY(G29,F29-1,Assumptions!$A$23:$A$30)</f>
        <v>46428</v>
      </c>
      <c r="I29" s="10" t="s">
        <v>105</v>
      </c>
      <c r="J29" s="10" t="s">
        <v>61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customFormat="false" ht="15" hidden="false" customHeight="false" outlineLevel="0" collapsed="false">
      <c r="A30" s="15" t="s">
        <v>106</v>
      </c>
      <c r="B30" s="16" t="s">
        <v>107</v>
      </c>
      <c r="C30" s="15"/>
      <c r="D30" s="15"/>
      <c r="E30" s="15" t="n">
        <f aca="false">SUM(E31,E32,E33,E34)</f>
        <v>46</v>
      </c>
      <c r="F30" s="15"/>
      <c r="G30" s="17" t="n">
        <f aca="false">MIN(G31,G32,G33,G34)</f>
        <v>46359</v>
      </c>
      <c r="H30" s="17" t="n">
        <f aca="false">MAX(H31,H32,H33,H34)</f>
        <v>46422</v>
      </c>
      <c r="I30" s="15"/>
      <c r="J30" s="15" t="s">
        <v>48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customFormat="false" ht="15" hidden="false" customHeight="false" outlineLevel="0" collapsed="false">
      <c r="A31" s="10" t="s">
        <v>108</v>
      </c>
      <c r="B31" s="11" t="s">
        <v>109</v>
      </c>
      <c r="C31" s="10" t="s">
        <v>110</v>
      </c>
      <c r="D31" s="12" t="n">
        <v>3</v>
      </c>
      <c r="E31" s="10" t="n">
        <f aca="false">WBS!D62</f>
        <v>12</v>
      </c>
      <c r="F31" s="10" t="n">
        <f aca="false">ROUNDUP(E31*Assumptions!$B$4/D31,0)</f>
        <v>8</v>
      </c>
      <c r="G31" s="14" t="n">
        <f aca="false">WORKDAY(MAX(Assumptions!$B$5,WORKDAY($H$14,1,Assumptions!$A$23:$A$30))-1,1,Assumptions!$A$23:$A$30)</f>
        <v>46359</v>
      </c>
      <c r="H31" s="14" t="n">
        <f aca="false">WORKDAY(G31,F31-1,Assumptions!$A$23:$A$30)</f>
        <v>46370</v>
      </c>
      <c r="I31" s="10" t="s">
        <v>111</v>
      </c>
      <c r="J31" s="10" t="s">
        <v>53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customFormat="false" ht="15" hidden="false" customHeight="false" outlineLevel="0" collapsed="false">
      <c r="A32" s="10" t="s">
        <v>112</v>
      </c>
      <c r="B32" s="11" t="s">
        <v>113</v>
      </c>
      <c r="C32" s="10" t="s">
        <v>110</v>
      </c>
      <c r="D32" s="12" t="n">
        <v>3</v>
      </c>
      <c r="E32" s="10" t="n">
        <f aca="false">WBS!D66</f>
        <v>16</v>
      </c>
      <c r="F32" s="10" t="n">
        <f aca="false">ROUNDUP(E32*Assumptions!$B$4/D32,0)</f>
        <v>11</v>
      </c>
      <c r="G32" s="14" t="n">
        <f aca="false">WORKDAY(MAX(Assumptions!$B$5,WORKDAY($H$31,1,Assumptions!$A$23:$A$30))-1,1,Assumptions!$A$23:$A$30)</f>
        <v>46371</v>
      </c>
      <c r="H32" s="14" t="n">
        <f aca="false">WORKDAY(G32,F32-1,Assumptions!$A$23:$A$30)</f>
        <v>46391</v>
      </c>
      <c r="I32" s="10" t="s">
        <v>114</v>
      </c>
      <c r="J32" s="10" t="s">
        <v>53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customFormat="false" ht="15" hidden="false" customHeight="false" outlineLevel="0" collapsed="false">
      <c r="A33" s="10" t="s">
        <v>115</v>
      </c>
      <c r="B33" s="11" t="s">
        <v>116</v>
      </c>
      <c r="C33" s="10" t="s">
        <v>110</v>
      </c>
      <c r="D33" s="12" t="n">
        <v>3</v>
      </c>
      <c r="E33" s="10" t="n">
        <f aca="false">WBS!D70</f>
        <v>8</v>
      </c>
      <c r="F33" s="10" t="n">
        <f aca="false">ROUNDUP(E33*Assumptions!$B$4/D33,0)</f>
        <v>6</v>
      </c>
      <c r="G33" s="14" t="n">
        <f aca="false">WORKDAY(MAX(Assumptions!$B$5,WORKDAY($H$18,1,Assumptions!$A$23:$A$30),WORKDAY($H$31,1,Assumptions!$A$23:$A$30))-1,1,Assumptions!$A$23:$A$30)</f>
        <v>46371</v>
      </c>
      <c r="H33" s="14" t="n">
        <f aca="false">WORKDAY(G33,F33-1,Assumptions!$A$23:$A$30)</f>
        <v>46378</v>
      </c>
      <c r="I33" s="10" t="s">
        <v>117</v>
      </c>
      <c r="J33" s="10" t="s">
        <v>61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customFormat="false" ht="15" hidden="false" customHeight="false" outlineLevel="0" collapsed="false">
      <c r="A34" s="10" t="s">
        <v>118</v>
      </c>
      <c r="B34" s="11" t="s">
        <v>119</v>
      </c>
      <c r="C34" s="10" t="s">
        <v>110</v>
      </c>
      <c r="D34" s="12" t="n">
        <v>3</v>
      </c>
      <c r="E34" s="10" t="n">
        <f aca="false">WBS!D73</f>
        <v>10</v>
      </c>
      <c r="F34" s="10" t="n">
        <f aca="false">ROUNDUP(E34*Assumptions!$B$4/D34,0)</f>
        <v>7</v>
      </c>
      <c r="G34" s="14" t="n">
        <f aca="false">WORKDAY(MAX(Assumptions!$B$5,WORKDAY($H$24,1,Assumptions!$A$23:$A$30))-1,1,Assumptions!$A$23:$A$30)</f>
        <v>46414</v>
      </c>
      <c r="H34" s="14" t="n">
        <f aca="false">WORKDAY(G34,F34-1,Assumptions!$A$23:$A$30)</f>
        <v>46422</v>
      </c>
      <c r="I34" s="10" t="s">
        <v>87</v>
      </c>
      <c r="J34" s="10" t="s">
        <v>61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customFormat="false" ht="15" hidden="false" customHeight="false" outlineLevel="0" collapsed="false">
      <c r="A35" s="15" t="s">
        <v>120</v>
      </c>
      <c r="B35" s="16" t="s">
        <v>121</v>
      </c>
      <c r="C35" s="15"/>
      <c r="D35" s="15"/>
      <c r="E35" s="15" t="n">
        <f aca="false">SUM(E36,E37)</f>
        <v>19</v>
      </c>
      <c r="F35" s="15"/>
      <c r="G35" s="17" t="n">
        <f aca="false">MIN(G36,G37)</f>
        <v>46363</v>
      </c>
      <c r="H35" s="17" t="n">
        <f aca="false">MAX(H36,H37)</f>
        <v>46427</v>
      </c>
      <c r="I35" s="15"/>
      <c r="J35" s="15" t="s">
        <v>48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customFormat="false" ht="15" hidden="false" customHeight="false" outlineLevel="0" collapsed="false">
      <c r="A36" s="10" t="s">
        <v>122</v>
      </c>
      <c r="B36" s="11" t="s">
        <v>123</v>
      </c>
      <c r="C36" s="10" t="s">
        <v>51</v>
      </c>
      <c r="D36" s="12" t="n">
        <v>3</v>
      </c>
      <c r="E36" s="10" t="n">
        <f aca="false">WBS!D77</f>
        <v>14</v>
      </c>
      <c r="F36" s="10" t="n">
        <f aca="false">ROUNDUP(E36*Assumptions!$B$4/D36,0)</f>
        <v>10</v>
      </c>
      <c r="G36" s="14" t="n">
        <f aca="false">WORKDAY(MAX(Assumptions!$B$5,WORKDAY($H$28,1,Assumptions!$A$23:$A$30),WORKDAY($H$33,1,Assumptions!$A$23:$A$30))-1,1,Assumptions!$A$23:$A$30)</f>
        <v>46414</v>
      </c>
      <c r="H36" s="14" t="n">
        <f aca="false">WORKDAY(G36,F36-1,Assumptions!$A$23:$A$30)</f>
        <v>46427</v>
      </c>
      <c r="I36" s="10" t="s">
        <v>124</v>
      </c>
      <c r="J36" s="10" t="s">
        <v>61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customFormat="false" ht="15" hidden="false" customHeight="false" outlineLevel="0" collapsed="false">
      <c r="A37" s="10" t="s">
        <v>125</v>
      </c>
      <c r="B37" s="11" t="s">
        <v>126</v>
      </c>
      <c r="C37" s="10" t="s">
        <v>59</v>
      </c>
      <c r="D37" s="12" t="n">
        <v>2</v>
      </c>
      <c r="E37" s="10" t="n">
        <f aca="false">WBS!D81</f>
        <v>5</v>
      </c>
      <c r="F37" s="10" t="n">
        <f aca="false">ROUNDUP(E37*Assumptions!$B$4/D37,0)</f>
        <v>5</v>
      </c>
      <c r="G37" s="14" t="n">
        <f aca="false">WORKDAY(MAX(Assumptions!$B$5,WORKDAY($H$18,1,Assumptions!$A$23:$A$30))-1,1,Assumptions!$A$23:$A$30)</f>
        <v>46363</v>
      </c>
      <c r="H37" s="14" t="n">
        <f aca="false">WORKDAY(G37,F37-1,Assumptions!$A$23:$A$30)</f>
        <v>46367</v>
      </c>
      <c r="I37" s="10" t="s">
        <v>127</v>
      </c>
      <c r="J37" s="10" t="s">
        <v>61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customFormat="false" ht="15" hidden="false" customHeight="false" outlineLevel="0" collapsed="false">
      <c r="A38" s="15" t="s">
        <v>128</v>
      </c>
      <c r="B38" s="16" t="s">
        <v>129</v>
      </c>
      <c r="C38" s="15"/>
      <c r="D38" s="15"/>
      <c r="E38" s="15" t="n">
        <f aca="false">SUM(E39,E40)</f>
        <v>12</v>
      </c>
      <c r="F38" s="15"/>
      <c r="G38" s="17" t="n">
        <f aca="false">MIN(G39,G40)</f>
        <v>46330</v>
      </c>
      <c r="H38" s="17" t="n">
        <f aca="false">MAX(H39,H40)</f>
        <v>46346</v>
      </c>
      <c r="I38" s="15"/>
      <c r="J38" s="15" t="s">
        <v>48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customFormat="false" ht="15" hidden="false" customHeight="false" outlineLevel="0" collapsed="false">
      <c r="A39" s="10" t="s">
        <v>130</v>
      </c>
      <c r="B39" s="11" t="s">
        <v>131</v>
      </c>
      <c r="C39" s="10" t="s">
        <v>59</v>
      </c>
      <c r="D39" s="12" t="n">
        <v>2</v>
      </c>
      <c r="E39" s="10" t="n">
        <f aca="false">WBS!D84</f>
        <v>11</v>
      </c>
      <c r="F39" s="10" t="n">
        <f aca="false">ROUNDUP(E39*Assumptions!$B$4/D39,0)</f>
        <v>11</v>
      </c>
      <c r="G39" s="14" t="n">
        <f aca="false">WORKDAY(MAX(Assumptions!$B$5,WORKDAY($H$42,1,Assumptions!$A$23:$A$30))-1,1,Assumptions!$A$23:$A$30)</f>
        <v>46330</v>
      </c>
      <c r="H39" s="14" t="n">
        <f aca="false">WORKDAY(G39,F39-1,Assumptions!$A$23:$A$30)</f>
        <v>46344</v>
      </c>
      <c r="I39" s="10" t="s">
        <v>52</v>
      </c>
      <c r="J39" s="10" t="s">
        <v>53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customFormat="false" ht="15" hidden="false" customHeight="false" outlineLevel="0" collapsed="false">
      <c r="A40" s="10" t="s">
        <v>132</v>
      </c>
      <c r="B40" s="11" t="s">
        <v>133</v>
      </c>
      <c r="C40" s="10" t="s">
        <v>77</v>
      </c>
      <c r="D40" s="12" t="n">
        <v>1</v>
      </c>
      <c r="E40" s="10" t="n">
        <f aca="false">WBS!D88</f>
        <v>1</v>
      </c>
      <c r="F40" s="10" t="n">
        <f aca="false">ROUNDUP(E40*Assumptions!$B$4/D40,0)</f>
        <v>2</v>
      </c>
      <c r="G40" s="14" t="n">
        <f aca="false">WORKDAY(MAX(Assumptions!$B$5,WORKDAY($H$39,1,Assumptions!$A$23:$A$30))-1,1,Assumptions!$A$23:$A$30)</f>
        <v>46345</v>
      </c>
      <c r="H40" s="14" t="n">
        <f aca="false">WORKDAY(G40,F40-1,Assumptions!$A$23:$A$30)</f>
        <v>46346</v>
      </c>
      <c r="I40" s="10" t="s">
        <v>134</v>
      </c>
      <c r="J40" s="10" t="s">
        <v>53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customFormat="false" ht="15" hidden="false" customHeight="false" outlineLevel="0" collapsed="false">
      <c r="A41" s="15" t="s">
        <v>135</v>
      </c>
      <c r="B41" s="16" t="s">
        <v>136</v>
      </c>
      <c r="C41" s="15"/>
      <c r="D41" s="15"/>
      <c r="E41" s="15" t="n">
        <f aca="false">SUM(E42,E43,E44,E45)</f>
        <v>64</v>
      </c>
      <c r="F41" s="15"/>
      <c r="G41" s="17" t="n">
        <f aca="false">MIN(G42,G43,G44,G45)</f>
        <v>46314</v>
      </c>
      <c r="H41" s="17" t="n">
        <f aca="false">MAX(H42,H43,H44,H45)</f>
        <v>46366</v>
      </c>
      <c r="I41" s="15"/>
      <c r="J41" s="15" t="s">
        <v>48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customFormat="false" ht="15" hidden="false" customHeight="false" outlineLevel="0" collapsed="false">
      <c r="A42" s="10" t="s">
        <v>137</v>
      </c>
      <c r="B42" s="11" t="s">
        <v>138</v>
      </c>
      <c r="C42" s="10" t="s">
        <v>139</v>
      </c>
      <c r="D42" s="12" t="n">
        <v>3</v>
      </c>
      <c r="E42" s="10" t="n">
        <f aca="false">WBS!D91</f>
        <v>18</v>
      </c>
      <c r="F42" s="10" t="n">
        <f aca="false">ROUNDUP(E42*Assumptions!$B$4/D42,0)</f>
        <v>12</v>
      </c>
      <c r="G42" s="14" t="n">
        <f aca="false">WORKDAY(Assumptions!$B$5-1,1,Assumptions!$A$23:$A$30)</f>
        <v>46314</v>
      </c>
      <c r="H42" s="14" t="n">
        <f aca="false">WORKDAY(G42,F42-1,Assumptions!$A$23:$A$30)</f>
        <v>46329</v>
      </c>
      <c r="I42" s="10" t="s">
        <v>140</v>
      </c>
      <c r="J42" s="10" t="s">
        <v>53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customFormat="false" ht="15" hidden="false" customHeight="false" outlineLevel="0" collapsed="false">
      <c r="A43" s="10" t="s">
        <v>141</v>
      </c>
      <c r="B43" s="11" t="s">
        <v>142</v>
      </c>
      <c r="C43" s="10" t="s">
        <v>139</v>
      </c>
      <c r="D43" s="12" t="n">
        <v>3</v>
      </c>
      <c r="E43" s="10" t="n">
        <f aca="false">WBS!D95</f>
        <v>18</v>
      </c>
      <c r="F43" s="10" t="n">
        <f aca="false">ROUNDUP(E43*Assumptions!$B$4/D43,0)</f>
        <v>12</v>
      </c>
      <c r="G43" s="14" t="n">
        <f aca="false">WORKDAY(MAX(Assumptions!$B$5,WORKDAY($H$42,1,Assumptions!$A$23:$A$30))-1,1,Assumptions!$A$23:$A$30)</f>
        <v>46330</v>
      </c>
      <c r="H43" s="14" t="n">
        <f aca="false">WORKDAY(G43,F43-1,Assumptions!$A$23:$A$30)</f>
        <v>46345</v>
      </c>
      <c r="I43" s="10" t="s">
        <v>52</v>
      </c>
      <c r="J43" s="10" t="s">
        <v>53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customFormat="false" ht="15" hidden="false" customHeight="false" outlineLevel="0" collapsed="false">
      <c r="A44" s="10" t="s">
        <v>143</v>
      </c>
      <c r="B44" s="11" t="s">
        <v>144</v>
      </c>
      <c r="C44" s="10" t="s">
        <v>139</v>
      </c>
      <c r="D44" s="12" t="n">
        <v>2</v>
      </c>
      <c r="E44" s="10" t="n">
        <f aca="false">WBS!D99</f>
        <v>13</v>
      </c>
      <c r="F44" s="10" t="n">
        <f aca="false">ROUNDUP(E44*Assumptions!$B$4/D44,0)</f>
        <v>13</v>
      </c>
      <c r="G44" s="14" t="n">
        <f aca="false">WORKDAY(MAX(Assumptions!$B$5,WORKDAY($H$43,1,Assumptions!$A$23:$A$30))-1,1,Assumptions!$A$23:$A$30)</f>
        <v>46346</v>
      </c>
      <c r="H44" s="14" t="n">
        <f aca="false">WORKDAY(G44,F44-1,Assumptions!$A$23:$A$30)</f>
        <v>46366</v>
      </c>
      <c r="I44" s="10" t="s">
        <v>70</v>
      </c>
      <c r="J44" s="10" t="s">
        <v>53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customFormat="false" ht="15" hidden="false" customHeight="false" outlineLevel="0" collapsed="false">
      <c r="A45" s="10" t="s">
        <v>145</v>
      </c>
      <c r="B45" s="11" t="s">
        <v>146</v>
      </c>
      <c r="C45" s="10" t="s">
        <v>147</v>
      </c>
      <c r="D45" s="12" t="n">
        <v>4</v>
      </c>
      <c r="E45" s="10" t="n">
        <f aca="false">WBS!D102</f>
        <v>15</v>
      </c>
      <c r="F45" s="10" t="n">
        <f aca="false">ROUNDUP(E45*Assumptions!$B$4/D45,0)</f>
        <v>8</v>
      </c>
      <c r="G45" s="14" t="n">
        <f aca="false">WORKDAY(MAX(Assumptions!$B$5,$G$42)-1,1,Assumptions!$A$23:$A$30)</f>
        <v>46314</v>
      </c>
      <c r="H45" s="14" t="n">
        <f aca="false">WORKDAY(G45,F45-1,Assumptions!$A$23:$A$30)</f>
        <v>46323</v>
      </c>
      <c r="I45" s="10" t="s">
        <v>148</v>
      </c>
      <c r="J45" s="10" t="s">
        <v>53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customFormat="false" ht="15" hidden="false" customHeight="false" outlineLevel="0" collapsed="false">
      <c r="A46" s="15" t="s">
        <v>149</v>
      </c>
      <c r="B46" s="16" t="s">
        <v>150</v>
      </c>
      <c r="C46" s="15"/>
      <c r="D46" s="15"/>
      <c r="E46" s="15" t="n">
        <f aca="false">SUM(E47,E48,E49)</f>
        <v>52</v>
      </c>
      <c r="F46" s="15"/>
      <c r="G46" s="17" t="n">
        <f aca="false">MIN(G47,G48,G49)</f>
        <v>46314</v>
      </c>
      <c r="H46" s="17" t="n">
        <f aca="false">MAX(H47,H48,H49)</f>
        <v>46463</v>
      </c>
      <c r="I46" s="15"/>
      <c r="J46" s="15" t="s">
        <v>48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customFormat="false" ht="15" hidden="false" customHeight="false" outlineLevel="0" collapsed="false">
      <c r="A47" s="10" t="s">
        <v>151</v>
      </c>
      <c r="B47" s="11" t="s">
        <v>152</v>
      </c>
      <c r="C47" s="10" t="s">
        <v>153</v>
      </c>
      <c r="D47" s="12" t="n">
        <v>2</v>
      </c>
      <c r="E47" s="10" t="n">
        <f aca="false">WBS!D107</f>
        <v>21</v>
      </c>
      <c r="F47" s="10" t="n">
        <f aca="false">ROUNDUP(E47*Assumptions!$B$4/D47,0)</f>
        <v>21</v>
      </c>
      <c r="G47" s="14" t="n">
        <f aca="false">WORKDAY(MAX(Assumptions!$B$5,$G$42)-1,1,Assumptions!$A$23:$A$30)</f>
        <v>46314</v>
      </c>
      <c r="H47" s="14" t="n">
        <f aca="false">WORKDAY(G47,F47-1,Assumptions!$A$23:$A$30)</f>
        <v>46342</v>
      </c>
      <c r="I47" s="10" t="s">
        <v>148</v>
      </c>
      <c r="J47" s="10" t="s">
        <v>53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customFormat="false" ht="15" hidden="false" customHeight="false" outlineLevel="0" collapsed="false">
      <c r="A48" s="10" t="s">
        <v>154</v>
      </c>
      <c r="B48" s="11" t="s">
        <v>155</v>
      </c>
      <c r="C48" s="10" t="s">
        <v>153</v>
      </c>
      <c r="D48" s="12" t="n">
        <v>3</v>
      </c>
      <c r="E48" s="10" t="n">
        <f aca="false">WBS!D111</f>
        <v>16</v>
      </c>
      <c r="F48" s="10" t="n">
        <f aca="false">ROUNDUP(E48*Assumptions!$B$4/D48,0)</f>
        <v>11</v>
      </c>
      <c r="G48" s="14" t="n">
        <f aca="false">WORKDAY(MAX(Assumptions!$B$5,WORKDAY($H$24,1,Assumptions!$A$23:$A$30),WORKDAY($H$44,1,Assumptions!$A$23:$A$30))-1,1,Assumptions!$A$23:$A$30)</f>
        <v>46414</v>
      </c>
      <c r="H48" s="14" t="n">
        <f aca="false">WORKDAY(G48,F48-1,Assumptions!$A$23:$A$30)</f>
        <v>46428</v>
      </c>
      <c r="I48" s="10" t="s">
        <v>156</v>
      </c>
      <c r="J48" s="10" t="s">
        <v>61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customFormat="false" ht="15" hidden="false" customHeight="false" outlineLevel="0" collapsed="false">
      <c r="A49" s="10" t="s">
        <v>157</v>
      </c>
      <c r="B49" s="11" t="s">
        <v>158</v>
      </c>
      <c r="C49" s="10" t="s">
        <v>159</v>
      </c>
      <c r="D49" s="12" t="n">
        <v>3</v>
      </c>
      <c r="E49" s="10" t="n">
        <f aca="false">WBS!D115</f>
        <v>15</v>
      </c>
      <c r="F49" s="10" t="n">
        <f aca="false">ROUNDUP(E49*Assumptions!$B$4/D49,0)</f>
        <v>10</v>
      </c>
      <c r="G49" s="14" t="n">
        <f aca="false">WORKDAY($H$8,1,Assumptions!$A$23:$A$30)</f>
        <v>46450</v>
      </c>
      <c r="H49" s="14" t="n">
        <f aca="false">WORKDAY(G49,F49-1,Assumptions!$A$23:$A$30)</f>
        <v>46463</v>
      </c>
      <c r="I49" s="10" t="s">
        <v>160</v>
      </c>
      <c r="J49" s="10" t="s">
        <v>161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customFormat="false" ht="26.85" hidden="false" customHeight="false" outlineLevel="0" collapsed="false">
      <c r="A50" s="10" t="s">
        <v>162</v>
      </c>
      <c r="B50" s="11" t="s">
        <v>163</v>
      </c>
      <c r="C50" s="10" t="s">
        <v>164</v>
      </c>
      <c r="D50" s="10"/>
      <c r="E50" s="10"/>
      <c r="F50" s="10" t="n">
        <f aca="false">Assumptions!$B$8</f>
        <v>10</v>
      </c>
      <c r="G50" s="14" t="n">
        <f aca="false">WORKDAY(MAX($H$43,$H$22,$H$45,$H$24,$H$27,$H$44,$H$31,$H$13,$H$32,$H$18,$H$42,$H$40,$H$20,$H$39,$H$19,$H$14,$H$47),1,Assumptions!$A$23:$A$30)</f>
        <v>46414</v>
      </c>
      <c r="H50" s="14" t="n">
        <f aca="false">WORKDAY(G50,F50-1,Assumptions!$A$23:$A$30)</f>
        <v>46427</v>
      </c>
      <c r="I50" s="10" t="s">
        <v>165</v>
      </c>
      <c r="J50" s="10" t="s">
        <v>166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customFormat="false" ht="15" hidden="false" customHeight="false" outlineLevel="0" collapsed="false">
      <c r="A51" s="10" t="s">
        <v>167</v>
      </c>
      <c r="B51" s="11" t="s">
        <v>168</v>
      </c>
      <c r="C51" s="10" t="s">
        <v>169</v>
      </c>
      <c r="D51" s="10"/>
      <c r="E51" s="10"/>
      <c r="F51" s="10" t="n">
        <f aca="false">Assumptions!$B$6</f>
        <v>5</v>
      </c>
      <c r="G51" s="14" t="n">
        <f aca="false">WORKDAY($H$50,1,Assumptions!$A$23:$A$30)</f>
        <v>46428</v>
      </c>
      <c r="H51" s="14" t="n">
        <f aca="false">WORKDAY(G51,F51-1,Assumptions!$A$23:$A$30)</f>
        <v>46435</v>
      </c>
      <c r="I51" s="10" t="s">
        <v>170</v>
      </c>
      <c r="J51" s="10" t="s">
        <v>166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customFormat="false" ht="15" hidden="false" customHeight="false" outlineLevel="0" collapsed="false">
      <c r="A52" s="10" t="s">
        <v>171</v>
      </c>
      <c r="B52" s="11" t="s">
        <v>172</v>
      </c>
      <c r="C52" s="10" t="s">
        <v>173</v>
      </c>
      <c r="D52" s="10"/>
      <c r="E52" s="10"/>
      <c r="F52" s="10" t="n">
        <f aca="false">Assumptions!$B$8</f>
        <v>10</v>
      </c>
      <c r="G52" s="14" t="n">
        <f aca="false">WORKDAY(MAX($H$16,$H$15,$H$28,$H$33,$H$23,$H$25,$H$34,$H$29,$H$37,$H$36,$H$48,$H$7),1,Assumptions!$A$23:$A$30)</f>
        <v>46436</v>
      </c>
      <c r="H52" s="14" t="n">
        <f aca="false">WORKDAY(G52,F52-1,Assumptions!$A$23:$A$30)</f>
        <v>46449</v>
      </c>
      <c r="I52" s="10" t="s">
        <v>174</v>
      </c>
      <c r="J52" s="10" t="s">
        <v>175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customFormat="false" ht="15" hidden="false" customHeight="false" outlineLevel="0" collapsed="false">
      <c r="A53" s="10" t="s">
        <v>176</v>
      </c>
      <c r="B53" s="11" t="s">
        <v>177</v>
      </c>
      <c r="C53" s="10" t="s">
        <v>169</v>
      </c>
      <c r="D53" s="10"/>
      <c r="E53" s="10"/>
      <c r="F53" s="10" t="n">
        <f aca="false">Assumptions!$B$7</f>
        <v>13</v>
      </c>
      <c r="G53" s="14" t="n">
        <f aca="false">WORKDAY($H$49,1,Assumptions!$A$23:$A$30)</f>
        <v>46464</v>
      </c>
      <c r="H53" s="14" t="n">
        <f aca="false">WORKDAY(G53,F53-1,Assumptions!$A$23:$A$30)</f>
        <v>46482</v>
      </c>
      <c r="I53" s="10" t="s">
        <v>178</v>
      </c>
      <c r="J53" s="10" t="s">
        <v>179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5" customFormat="false" ht="15" hidden="false" customHeight="false" outlineLevel="0" collapsed="false">
      <c r="B55" s="2" t="s">
        <v>180</v>
      </c>
    </row>
    <row r="56" customFormat="false" ht="15" hidden="false" customHeight="false" outlineLevel="0" collapsed="false">
      <c r="B56" s="2" t="s">
        <v>181</v>
      </c>
    </row>
  </sheetData>
  <conditionalFormatting sqref="K5:AP53">
    <cfRule type="expression" priority="2" aboveAverage="0" equalAverage="0" bottom="0" percent="0" rank="0" text="" dxfId="0">
      <formula>AND(K$4&lt;=$H5,K$4+6&gt;=$G5,$J5="Milestone")</formula>
    </cfRule>
    <cfRule type="expression" priority="3" aboveAverage="0" equalAverage="0" bottom="0" percent="0" rank="0" text="" dxfId="1">
      <formula>AND(K$4&lt;=$H5,K$4+6&gt;=$G5,LEFT($A5,1)="P")</formula>
    </cfRule>
    <cfRule type="expression" priority="4" aboveAverage="0" equalAverage="0" bottom="0" percent="0" rank="0" text="" dxfId="2">
      <formula>AND(K$4&lt;=$H5,K$4+6&gt;=$G5,LEFT($A5,1)="T")</formula>
    </cfRule>
    <cfRule type="expression" priority="5" aboveAverage="0" equalAverage="0" bottom="0" percent="0" rank="0" text="" dxfId="3">
      <formula>AND(K$4&lt;=$H5,K$4+6&gt;=$G5,LEFT($A5,1)="C")</formula>
    </cfRule>
    <cfRule type="expression" priority="6" aboveAverage="0" equalAverage="0" bottom="0" percent="0" rank="0" text="" dxfId="4">
      <formula>AND(K$4&lt;=$H5,K$4+6&gt;=$G5,$J5="Module summary")</formula>
    </cfRule>
    <cfRule type="expression" priority="7" aboveAverage="0" equalAverage="0" bottom="0" percent="0" rank="0" text="" dxfId="5">
      <formula>AND(K$4&lt;=$H5,K$4+6&gt;=$G5,$J5="Beta scope")</formula>
    </cfRule>
    <cfRule type="expression" priority="8" aboveAverage="0" equalAverage="0" bottom="0" percent="0" rank="0" text="" dxfId="6">
      <formula>AND(K$4&lt;=$H5,K$4+6&gt;=$G5,OR($J5="MVP scope",$J5="Release"))</formula>
    </cfRule>
    <cfRule type="expression" priority="9" aboveAverage="0" equalAverage="0" bottom="0" percent="0" rank="0" text="" dxfId="7">
      <formula>AND(K$4&lt;=TODAY(),K$4+6&gt;=TODAY())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" t="s">
        <v>182</v>
      </c>
      <c r="B1" s="18"/>
      <c r="C1" s="18"/>
    </row>
    <row r="2" customFormat="false" ht="15" hidden="false" customHeight="false" outlineLevel="0" collapsed="false">
      <c r="A2" s="18"/>
      <c r="B2" s="18"/>
      <c r="C2" s="18"/>
    </row>
    <row r="3" customFormat="false" ht="15" hidden="false" customHeight="false" outlineLevel="0" collapsed="false">
      <c r="A3" s="19" t="s">
        <v>183</v>
      </c>
      <c r="B3" s="19" t="s">
        <v>184</v>
      </c>
      <c r="C3" s="19" t="s">
        <v>185</v>
      </c>
    </row>
    <row r="4" customFormat="false" ht="15" hidden="false" customHeight="false" outlineLevel="0" collapsed="false">
      <c r="A4" s="18" t="s">
        <v>186</v>
      </c>
      <c r="B4" s="20" t="n">
        <v>2</v>
      </c>
      <c r="C4" s="18" t="s">
        <v>187</v>
      </c>
    </row>
    <row r="5" customFormat="false" ht="15" hidden="false" customHeight="false" outlineLevel="0" collapsed="false">
      <c r="A5" s="18" t="s">
        <v>188</v>
      </c>
      <c r="B5" s="21" t="n">
        <v>46314</v>
      </c>
      <c r="C5" s="18" t="s">
        <v>189</v>
      </c>
    </row>
    <row r="6" customFormat="false" ht="15" hidden="false" customHeight="false" outlineLevel="0" collapsed="false">
      <c r="A6" s="18" t="s">
        <v>190</v>
      </c>
      <c r="B6" s="20" t="n">
        <v>5</v>
      </c>
      <c r="C6" s="18" t="s">
        <v>191</v>
      </c>
    </row>
    <row r="7" customFormat="false" ht="15" hidden="false" customHeight="false" outlineLevel="0" collapsed="false">
      <c r="A7" s="18" t="s">
        <v>192</v>
      </c>
      <c r="B7" s="20" t="n">
        <v>13</v>
      </c>
      <c r="C7" s="18"/>
    </row>
    <row r="8" customFormat="false" ht="15" hidden="false" customHeight="false" outlineLevel="0" collapsed="false">
      <c r="A8" s="18" t="s">
        <v>193</v>
      </c>
      <c r="B8" s="20" t="n">
        <v>10</v>
      </c>
      <c r="C8" s="18" t="s">
        <v>194</v>
      </c>
    </row>
    <row r="9" customFormat="false" ht="15" hidden="false" customHeight="false" outlineLevel="0" collapsed="false">
      <c r="A9" s="18"/>
      <c r="B9" s="18"/>
      <c r="C9" s="18"/>
    </row>
    <row r="10" customFormat="false" ht="15" hidden="false" customHeight="false" outlineLevel="0" collapsed="false">
      <c r="A10" s="18"/>
      <c r="B10" s="18"/>
      <c r="C10" s="18"/>
    </row>
    <row r="11" customFormat="false" ht="15" hidden="false" customHeight="false" outlineLevel="0" collapsed="false">
      <c r="A11" s="19" t="s">
        <v>195</v>
      </c>
      <c r="B11" s="18"/>
      <c r="C11" s="18"/>
    </row>
    <row r="12" customFormat="false" ht="15" hidden="false" customHeight="false" outlineLevel="0" collapsed="false">
      <c r="A12" s="18" t="s">
        <v>12</v>
      </c>
      <c r="B12" s="18" t="s">
        <v>13</v>
      </c>
      <c r="C12" s="18"/>
    </row>
    <row r="13" customFormat="false" ht="15" hidden="false" customHeight="false" outlineLevel="0" collapsed="false">
      <c r="A13" s="18" t="s">
        <v>139</v>
      </c>
      <c r="B13" s="22" t="n">
        <v>6</v>
      </c>
      <c r="C13" s="18"/>
    </row>
    <row r="14" customFormat="false" ht="15" hidden="false" customHeight="false" outlineLevel="0" collapsed="false">
      <c r="A14" s="18" t="s">
        <v>196</v>
      </c>
      <c r="B14" s="22" t="n">
        <v>3</v>
      </c>
      <c r="C14" s="18"/>
    </row>
    <row r="15" customFormat="false" ht="15" hidden="false" customHeight="false" outlineLevel="0" collapsed="false">
      <c r="A15" s="18" t="s">
        <v>197</v>
      </c>
      <c r="B15" s="22" t="n">
        <v>3</v>
      </c>
      <c r="C15" s="18"/>
    </row>
    <row r="16" customFormat="false" ht="15" hidden="false" customHeight="false" outlineLevel="0" collapsed="false">
      <c r="A16" s="18" t="s">
        <v>198</v>
      </c>
      <c r="B16" s="22" t="n">
        <v>2</v>
      </c>
      <c r="C16" s="18"/>
    </row>
    <row r="17" customFormat="false" ht="15" hidden="false" customHeight="false" outlineLevel="0" collapsed="false">
      <c r="A17" s="18" t="s">
        <v>199</v>
      </c>
      <c r="B17" s="22" t="n">
        <v>2</v>
      </c>
      <c r="C17" s="18"/>
    </row>
    <row r="18" customFormat="false" ht="15" hidden="false" customHeight="false" outlineLevel="0" collapsed="false">
      <c r="A18" s="18" t="s">
        <v>200</v>
      </c>
      <c r="B18" s="22" t="n">
        <v>3</v>
      </c>
      <c r="C18" s="18"/>
    </row>
    <row r="19" customFormat="false" ht="15" hidden="false" customHeight="false" outlineLevel="0" collapsed="false">
      <c r="A19" s="18" t="s">
        <v>201</v>
      </c>
      <c r="B19" s="22" t="n">
        <v>1</v>
      </c>
      <c r="C19" s="18"/>
    </row>
    <row r="20" customFormat="false" ht="15" hidden="false" customHeight="false" outlineLevel="0" collapsed="false">
      <c r="A20" s="18" t="s">
        <v>202</v>
      </c>
      <c r="B20" s="18" t="n">
        <f aca="false">SUM(B13:B19)</f>
        <v>20</v>
      </c>
      <c r="C20" s="18"/>
    </row>
    <row r="21" customFormat="false" ht="15" hidden="false" customHeight="false" outlineLevel="0" collapsed="false">
      <c r="A21" s="18"/>
      <c r="B21" s="18"/>
      <c r="C21" s="18"/>
    </row>
    <row r="22" customFormat="false" ht="15" hidden="false" customHeight="false" outlineLevel="0" collapsed="false">
      <c r="A22" s="19" t="s">
        <v>203</v>
      </c>
      <c r="B22" s="18"/>
      <c r="C22" s="18"/>
    </row>
    <row r="23" customFormat="false" ht="15" hidden="false" customHeight="false" outlineLevel="0" collapsed="false">
      <c r="A23" s="23" t="n">
        <v>46352</v>
      </c>
      <c r="B23" s="18"/>
      <c r="C23" s="18"/>
    </row>
    <row r="24" customFormat="false" ht="15" hidden="false" customHeight="false" outlineLevel="0" collapsed="false">
      <c r="A24" s="23" t="n">
        <v>46353</v>
      </c>
      <c r="B24" s="18"/>
      <c r="C24" s="18"/>
    </row>
    <row r="25" customFormat="false" ht="15" hidden="false" customHeight="false" outlineLevel="0" collapsed="false">
      <c r="A25" s="23" t="n">
        <v>46380</v>
      </c>
      <c r="B25" s="18"/>
      <c r="C25" s="18"/>
    </row>
    <row r="26" customFormat="false" ht="15" hidden="false" customHeight="false" outlineLevel="0" collapsed="false">
      <c r="A26" s="23" t="n">
        <v>46381</v>
      </c>
      <c r="B26" s="18"/>
      <c r="C26" s="18"/>
    </row>
    <row r="27" customFormat="false" ht="15" hidden="false" customHeight="false" outlineLevel="0" collapsed="false">
      <c r="A27" s="23" t="n">
        <v>46387</v>
      </c>
      <c r="B27" s="18"/>
      <c r="C27" s="18"/>
    </row>
    <row r="28" customFormat="false" ht="15" hidden="false" customHeight="false" outlineLevel="0" collapsed="false">
      <c r="A28" s="23" t="n">
        <v>46388</v>
      </c>
      <c r="B28" s="18"/>
      <c r="C28" s="18"/>
    </row>
    <row r="29" customFormat="false" ht="15" hidden="false" customHeight="false" outlineLevel="0" collapsed="false">
      <c r="A29" s="23" t="n">
        <v>46405</v>
      </c>
      <c r="B29" s="18"/>
      <c r="C29" s="18"/>
    </row>
    <row r="30" customFormat="false" ht="15" hidden="false" customHeight="false" outlineLevel="0" collapsed="false">
      <c r="A30" s="23" t="n">
        <v>46433</v>
      </c>
      <c r="B30" s="18"/>
      <c r="C30" s="18"/>
    </row>
    <row r="31" customFormat="false" ht="15" hidden="false" customHeight="false" outlineLevel="0" collapsed="false">
      <c r="A31" s="18"/>
      <c r="B31" s="18"/>
      <c r="C31" s="18"/>
    </row>
    <row r="32" customFormat="false" ht="15" hidden="false" customHeight="false" outlineLevel="0" collapsed="false">
      <c r="A32" s="18"/>
      <c r="B32" s="18"/>
      <c r="C32" s="18"/>
    </row>
    <row r="33" customFormat="false" ht="15" hidden="false" customHeight="false" outlineLevel="0" collapsed="false">
      <c r="A33" s="18" t="s">
        <v>204</v>
      </c>
      <c r="B33" s="18"/>
      <c r="C33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78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24" t="s">
        <v>205</v>
      </c>
      <c r="B1" s="24" t="s">
        <v>206</v>
      </c>
      <c r="C1" s="24" t="s">
        <v>207</v>
      </c>
      <c r="D1" s="24" t="s">
        <v>208</v>
      </c>
      <c r="E1" s="24" t="s">
        <v>209</v>
      </c>
    </row>
    <row r="2" customFormat="false" ht="15" hidden="false" customHeight="false" outlineLevel="0" collapsed="false">
      <c r="A2" s="25" t="s">
        <v>46</v>
      </c>
      <c r="B2" s="25" t="n">
        <v>1</v>
      </c>
      <c r="C2" s="25" t="s">
        <v>47</v>
      </c>
      <c r="D2" s="25" t="n">
        <f aca="false">D3+D8+D13+D17</f>
        <v>50</v>
      </c>
      <c r="E2" s="25" t="s">
        <v>210</v>
      </c>
    </row>
    <row r="3" customFormat="false" ht="15" hidden="false" customHeight="false" outlineLevel="0" collapsed="false">
      <c r="A3" s="26" t="s">
        <v>49</v>
      </c>
      <c r="B3" s="26" t="n">
        <v>2</v>
      </c>
      <c r="C3" s="26" t="s">
        <v>50</v>
      </c>
      <c r="D3" s="27" t="n">
        <f aca="false">SUM(D4:D7)</f>
        <v>13</v>
      </c>
      <c r="E3" s="26"/>
    </row>
    <row r="4" customFormat="false" ht="15" hidden="false" customHeight="false" outlineLevel="0" collapsed="false">
      <c r="A4" s="18" t="s">
        <v>211</v>
      </c>
      <c r="B4" s="18" t="n">
        <v>3</v>
      </c>
      <c r="C4" s="18" t="s">
        <v>212</v>
      </c>
      <c r="D4" s="22" t="n">
        <v>3</v>
      </c>
      <c r="E4" s="18" t="s">
        <v>213</v>
      </c>
    </row>
    <row r="5" customFormat="false" ht="15" hidden="false" customHeight="false" outlineLevel="0" collapsed="false">
      <c r="A5" s="18" t="s">
        <v>214</v>
      </c>
      <c r="B5" s="18" t="n">
        <v>3</v>
      </c>
      <c r="C5" s="18" t="s">
        <v>215</v>
      </c>
      <c r="D5" s="22" t="n">
        <v>5</v>
      </c>
      <c r="E5" s="18" t="s">
        <v>216</v>
      </c>
    </row>
    <row r="6" customFormat="false" ht="15" hidden="false" customHeight="false" outlineLevel="0" collapsed="false">
      <c r="A6" s="18" t="s">
        <v>217</v>
      </c>
      <c r="B6" s="18" t="n">
        <v>3</v>
      </c>
      <c r="C6" s="18" t="s">
        <v>218</v>
      </c>
      <c r="D6" s="22" t="n">
        <v>3</v>
      </c>
      <c r="E6" s="18" t="s">
        <v>219</v>
      </c>
    </row>
    <row r="7" customFormat="false" ht="15" hidden="false" customHeight="false" outlineLevel="0" collapsed="false">
      <c r="A7" s="18" t="s">
        <v>220</v>
      </c>
      <c r="B7" s="18" t="n">
        <v>3</v>
      </c>
      <c r="C7" s="18" t="s">
        <v>221</v>
      </c>
      <c r="D7" s="22" t="n">
        <v>2</v>
      </c>
      <c r="E7" s="18" t="s">
        <v>222</v>
      </c>
    </row>
    <row r="8" customFormat="false" ht="15" hidden="false" customHeight="false" outlineLevel="0" collapsed="false">
      <c r="A8" s="26" t="s">
        <v>54</v>
      </c>
      <c r="B8" s="26" t="n">
        <v>2</v>
      </c>
      <c r="C8" s="26" t="s">
        <v>55</v>
      </c>
      <c r="D8" s="27" t="n">
        <f aca="false">SUM(D9:D12)</f>
        <v>15</v>
      </c>
      <c r="E8" s="26"/>
    </row>
    <row r="9" customFormat="false" ht="15" hidden="false" customHeight="false" outlineLevel="0" collapsed="false">
      <c r="A9" s="18" t="s">
        <v>223</v>
      </c>
      <c r="B9" s="18" t="n">
        <v>3</v>
      </c>
      <c r="C9" s="18" t="s">
        <v>224</v>
      </c>
      <c r="D9" s="22" t="n">
        <v>5</v>
      </c>
      <c r="E9" s="18" t="s">
        <v>225</v>
      </c>
    </row>
    <row r="10" customFormat="false" ht="15" hidden="false" customHeight="false" outlineLevel="0" collapsed="false">
      <c r="A10" s="18" t="s">
        <v>226</v>
      </c>
      <c r="B10" s="18" t="n">
        <v>3</v>
      </c>
      <c r="C10" s="18" t="s">
        <v>227</v>
      </c>
      <c r="D10" s="22" t="n">
        <v>3</v>
      </c>
      <c r="E10" s="18" t="s">
        <v>228</v>
      </c>
    </row>
    <row r="11" customFormat="false" ht="15" hidden="false" customHeight="false" outlineLevel="0" collapsed="false">
      <c r="A11" s="18" t="s">
        <v>229</v>
      </c>
      <c r="B11" s="18" t="n">
        <v>3</v>
      </c>
      <c r="C11" s="18" t="s">
        <v>230</v>
      </c>
      <c r="D11" s="22" t="n">
        <v>5</v>
      </c>
      <c r="E11" s="18" t="s">
        <v>231</v>
      </c>
    </row>
    <row r="12" customFormat="false" ht="15" hidden="false" customHeight="false" outlineLevel="0" collapsed="false">
      <c r="A12" s="18" t="s">
        <v>232</v>
      </c>
      <c r="B12" s="18" t="n">
        <v>3</v>
      </c>
      <c r="C12" s="18" t="s">
        <v>233</v>
      </c>
      <c r="D12" s="22" t="n">
        <v>2</v>
      </c>
      <c r="E12" s="18" t="s">
        <v>234</v>
      </c>
    </row>
    <row r="13" customFormat="false" ht="15" hidden="false" customHeight="false" outlineLevel="0" collapsed="false">
      <c r="A13" s="26" t="s">
        <v>57</v>
      </c>
      <c r="B13" s="26" t="n">
        <v>2</v>
      </c>
      <c r="C13" s="26" t="s">
        <v>58</v>
      </c>
      <c r="D13" s="27" t="n">
        <f aca="false">SUM(D14:D16)</f>
        <v>11</v>
      </c>
      <c r="E13" s="26"/>
    </row>
    <row r="14" customFormat="false" ht="15" hidden="false" customHeight="false" outlineLevel="0" collapsed="false">
      <c r="A14" s="18" t="s">
        <v>235</v>
      </c>
      <c r="B14" s="18" t="n">
        <v>3</v>
      </c>
      <c r="C14" s="18" t="s">
        <v>236</v>
      </c>
      <c r="D14" s="22" t="n">
        <v>5</v>
      </c>
      <c r="E14" s="18" t="s">
        <v>237</v>
      </c>
    </row>
    <row r="15" customFormat="false" ht="15" hidden="false" customHeight="false" outlineLevel="0" collapsed="false">
      <c r="A15" s="18" t="s">
        <v>238</v>
      </c>
      <c r="B15" s="18" t="n">
        <v>3</v>
      </c>
      <c r="C15" s="18" t="s">
        <v>239</v>
      </c>
      <c r="D15" s="22" t="n">
        <v>3</v>
      </c>
      <c r="E15" s="18" t="s">
        <v>240</v>
      </c>
    </row>
    <row r="16" customFormat="false" ht="15" hidden="false" customHeight="false" outlineLevel="0" collapsed="false">
      <c r="A16" s="18" t="s">
        <v>241</v>
      </c>
      <c r="B16" s="18" t="n">
        <v>3</v>
      </c>
      <c r="C16" s="18" t="s">
        <v>242</v>
      </c>
      <c r="D16" s="22" t="n">
        <v>3</v>
      </c>
      <c r="E16" s="18" t="s">
        <v>243</v>
      </c>
    </row>
    <row r="17" customFormat="false" ht="15" hidden="false" customHeight="false" outlineLevel="0" collapsed="false">
      <c r="A17" s="26" t="s">
        <v>62</v>
      </c>
      <c r="B17" s="26" t="n">
        <v>2</v>
      </c>
      <c r="C17" s="26" t="s">
        <v>63</v>
      </c>
      <c r="D17" s="27" t="n">
        <f aca="false">SUM(D18:D20)</f>
        <v>11</v>
      </c>
      <c r="E17" s="26"/>
    </row>
    <row r="18" customFormat="false" ht="15" hidden="false" customHeight="false" outlineLevel="0" collapsed="false">
      <c r="A18" s="18" t="s">
        <v>244</v>
      </c>
      <c r="B18" s="18" t="n">
        <v>3</v>
      </c>
      <c r="C18" s="18" t="s">
        <v>245</v>
      </c>
      <c r="D18" s="22" t="n">
        <v>3</v>
      </c>
      <c r="E18" s="18" t="s">
        <v>246</v>
      </c>
    </row>
    <row r="19" customFormat="false" ht="15" hidden="false" customHeight="false" outlineLevel="0" collapsed="false">
      <c r="A19" s="18" t="s">
        <v>247</v>
      </c>
      <c r="B19" s="18" t="n">
        <v>3</v>
      </c>
      <c r="C19" s="18" t="s">
        <v>248</v>
      </c>
      <c r="D19" s="22" t="n">
        <v>3</v>
      </c>
      <c r="E19" s="18" t="s">
        <v>249</v>
      </c>
    </row>
    <row r="20" customFormat="false" ht="15" hidden="false" customHeight="false" outlineLevel="0" collapsed="false">
      <c r="A20" s="18" t="s">
        <v>250</v>
      </c>
      <c r="B20" s="18" t="n">
        <v>3</v>
      </c>
      <c r="C20" s="18" t="s">
        <v>251</v>
      </c>
      <c r="D20" s="22" t="n">
        <v>5</v>
      </c>
      <c r="E20" s="18" t="s">
        <v>252</v>
      </c>
    </row>
    <row r="21" customFormat="false" ht="15" hidden="false" customHeight="false" outlineLevel="0" collapsed="false">
      <c r="A21" s="25" t="s">
        <v>65</v>
      </c>
      <c r="B21" s="25" t="n">
        <v>1</v>
      </c>
      <c r="C21" s="25" t="s">
        <v>66</v>
      </c>
      <c r="D21" s="25" t="n">
        <f aca="false">D22+D26+D31</f>
        <v>33</v>
      </c>
      <c r="E21" s="25" t="s">
        <v>253</v>
      </c>
    </row>
    <row r="22" customFormat="false" ht="15" hidden="false" customHeight="false" outlineLevel="0" collapsed="false">
      <c r="A22" s="26" t="s">
        <v>67</v>
      </c>
      <c r="B22" s="26" t="n">
        <v>2</v>
      </c>
      <c r="C22" s="26" t="s">
        <v>68</v>
      </c>
      <c r="D22" s="27" t="n">
        <f aca="false">SUM(D23:D25)</f>
        <v>13</v>
      </c>
      <c r="E22" s="26"/>
    </row>
    <row r="23" customFormat="false" ht="15" hidden="false" customHeight="false" outlineLevel="0" collapsed="false">
      <c r="A23" s="18" t="s">
        <v>254</v>
      </c>
      <c r="B23" s="18" t="n">
        <v>3</v>
      </c>
      <c r="C23" s="18" t="s">
        <v>255</v>
      </c>
      <c r="D23" s="22" t="n">
        <v>8</v>
      </c>
      <c r="E23" s="18" t="s">
        <v>256</v>
      </c>
    </row>
    <row r="24" customFormat="false" ht="15" hidden="false" customHeight="false" outlineLevel="0" collapsed="false">
      <c r="A24" s="18" t="s">
        <v>257</v>
      </c>
      <c r="B24" s="18" t="n">
        <v>3</v>
      </c>
      <c r="C24" s="18" t="s">
        <v>258</v>
      </c>
      <c r="D24" s="22" t="n">
        <v>2</v>
      </c>
      <c r="E24" s="18" t="s">
        <v>259</v>
      </c>
    </row>
    <row r="25" customFormat="false" ht="15" hidden="false" customHeight="false" outlineLevel="0" collapsed="false">
      <c r="A25" s="18" t="s">
        <v>260</v>
      </c>
      <c r="B25" s="18" t="n">
        <v>3</v>
      </c>
      <c r="C25" s="18" t="s">
        <v>261</v>
      </c>
      <c r="D25" s="22" t="n">
        <v>3</v>
      </c>
      <c r="E25" s="18" t="s">
        <v>262</v>
      </c>
    </row>
    <row r="26" customFormat="false" ht="15" hidden="false" customHeight="false" outlineLevel="0" collapsed="false">
      <c r="A26" s="26" t="s">
        <v>71</v>
      </c>
      <c r="B26" s="26" t="n">
        <v>2</v>
      </c>
      <c r="C26" s="26" t="s">
        <v>72</v>
      </c>
      <c r="D26" s="27" t="n">
        <f aca="false">SUM(D27:D30)</f>
        <v>15</v>
      </c>
      <c r="E26" s="26"/>
    </row>
    <row r="27" customFormat="false" ht="15" hidden="false" customHeight="false" outlineLevel="0" collapsed="false">
      <c r="A27" s="18" t="s">
        <v>263</v>
      </c>
      <c r="B27" s="18" t="n">
        <v>3</v>
      </c>
      <c r="C27" s="18" t="s">
        <v>264</v>
      </c>
      <c r="D27" s="22" t="n">
        <v>5</v>
      </c>
      <c r="E27" s="18" t="s">
        <v>265</v>
      </c>
    </row>
    <row r="28" customFormat="false" ht="15" hidden="false" customHeight="false" outlineLevel="0" collapsed="false">
      <c r="A28" s="18" t="s">
        <v>266</v>
      </c>
      <c r="B28" s="18" t="n">
        <v>3</v>
      </c>
      <c r="C28" s="18" t="s">
        <v>267</v>
      </c>
      <c r="D28" s="22" t="n">
        <v>5</v>
      </c>
      <c r="E28" s="18" t="s">
        <v>268</v>
      </c>
    </row>
    <row r="29" customFormat="false" ht="15" hidden="false" customHeight="false" outlineLevel="0" collapsed="false">
      <c r="A29" s="18" t="s">
        <v>269</v>
      </c>
      <c r="B29" s="18" t="n">
        <v>3</v>
      </c>
      <c r="C29" s="18" t="s">
        <v>270</v>
      </c>
      <c r="D29" s="22" t="n">
        <v>3</v>
      </c>
      <c r="E29" s="18" t="s">
        <v>271</v>
      </c>
    </row>
    <row r="30" customFormat="false" ht="15" hidden="false" customHeight="false" outlineLevel="0" collapsed="false">
      <c r="A30" s="18" t="s">
        <v>272</v>
      </c>
      <c r="B30" s="18" t="n">
        <v>3</v>
      </c>
      <c r="C30" s="18" t="s">
        <v>273</v>
      </c>
      <c r="D30" s="22" t="n">
        <v>2</v>
      </c>
      <c r="E30" s="18" t="s">
        <v>274</v>
      </c>
    </row>
    <row r="31" customFormat="false" ht="15" hidden="false" customHeight="false" outlineLevel="0" collapsed="false">
      <c r="A31" s="26" t="s">
        <v>75</v>
      </c>
      <c r="B31" s="26" t="n">
        <v>2</v>
      </c>
      <c r="C31" s="26" t="s">
        <v>76</v>
      </c>
      <c r="D31" s="27" t="n">
        <f aca="false">SUM(D32:D33)</f>
        <v>5</v>
      </c>
      <c r="E31" s="26"/>
    </row>
    <row r="32" customFormat="false" ht="15" hidden="false" customHeight="false" outlineLevel="0" collapsed="false">
      <c r="A32" s="18" t="s">
        <v>275</v>
      </c>
      <c r="B32" s="18" t="n">
        <v>3</v>
      </c>
      <c r="C32" s="18" t="s">
        <v>276</v>
      </c>
      <c r="D32" s="22" t="n">
        <v>3</v>
      </c>
      <c r="E32" s="18" t="s">
        <v>277</v>
      </c>
    </row>
    <row r="33" customFormat="false" ht="15" hidden="false" customHeight="false" outlineLevel="0" collapsed="false">
      <c r="A33" s="18" t="s">
        <v>278</v>
      </c>
      <c r="B33" s="18" t="n">
        <v>3</v>
      </c>
      <c r="C33" s="18" t="s">
        <v>279</v>
      </c>
      <c r="D33" s="22" t="n">
        <v>2</v>
      </c>
      <c r="E33" s="18" t="s">
        <v>280</v>
      </c>
    </row>
    <row r="34" customFormat="false" ht="15" hidden="false" customHeight="false" outlineLevel="0" collapsed="false">
      <c r="A34" s="25" t="s">
        <v>79</v>
      </c>
      <c r="B34" s="25" t="n">
        <v>1</v>
      </c>
      <c r="C34" s="25" t="s">
        <v>80</v>
      </c>
      <c r="D34" s="25" t="n">
        <f aca="false">D35+D40+D43+D46</f>
        <v>43</v>
      </c>
      <c r="E34" s="25" t="s">
        <v>281</v>
      </c>
    </row>
    <row r="35" customFormat="false" ht="15" hidden="false" customHeight="false" outlineLevel="0" collapsed="false">
      <c r="A35" s="26" t="s">
        <v>81</v>
      </c>
      <c r="B35" s="26" t="n">
        <v>2</v>
      </c>
      <c r="C35" s="26" t="s">
        <v>82</v>
      </c>
      <c r="D35" s="27" t="n">
        <f aca="false">SUM(D36:D39)</f>
        <v>21</v>
      </c>
      <c r="E35" s="26"/>
    </row>
    <row r="36" customFormat="false" ht="15" hidden="false" customHeight="false" outlineLevel="0" collapsed="false">
      <c r="A36" s="18" t="s">
        <v>282</v>
      </c>
      <c r="B36" s="18" t="n">
        <v>3</v>
      </c>
      <c r="C36" s="18" t="s">
        <v>283</v>
      </c>
      <c r="D36" s="22" t="n">
        <v>8</v>
      </c>
      <c r="E36" s="18" t="s">
        <v>284</v>
      </c>
    </row>
    <row r="37" customFormat="false" ht="15" hidden="false" customHeight="false" outlineLevel="0" collapsed="false">
      <c r="A37" s="18" t="s">
        <v>285</v>
      </c>
      <c r="B37" s="18" t="n">
        <v>3</v>
      </c>
      <c r="C37" s="18" t="s">
        <v>286</v>
      </c>
      <c r="D37" s="22" t="n">
        <v>5</v>
      </c>
      <c r="E37" s="18" t="s">
        <v>287</v>
      </c>
    </row>
    <row r="38" customFormat="false" ht="15" hidden="false" customHeight="false" outlineLevel="0" collapsed="false">
      <c r="A38" s="18" t="s">
        <v>288</v>
      </c>
      <c r="B38" s="18" t="n">
        <v>3</v>
      </c>
      <c r="C38" s="18" t="s">
        <v>289</v>
      </c>
      <c r="D38" s="22" t="n">
        <v>5</v>
      </c>
      <c r="E38" s="18" t="s">
        <v>290</v>
      </c>
    </row>
    <row r="39" customFormat="false" ht="15" hidden="false" customHeight="false" outlineLevel="0" collapsed="false">
      <c r="A39" s="18" t="s">
        <v>291</v>
      </c>
      <c r="B39" s="18" t="n">
        <v>3</v>
      </c>
      <c r="C39" s="18" t="s">
        <v>292</v>
      </c>
      <c r="D39" s="22" t="n">
        <v>3</v>
      </c>
      <c r="E39" s="18" t="s">
        <v>293</v>
      </c>
    </row>
    <row r="40" customFormat="false" ht="15" hidden="false" customHeight="false" outlineLevel="0" collapsed="false">
      <c r="A40" s="26" t="s">
        <v>85</v>
      </c>
      <c r="B40" s="26" t="n">
        <v>2</v>
      </c>
      <c r="C40" s="26" t="s">
        <v>86</v>
      </c>
      <c r="D40" s="27" t="n">
        <f aca="false">SUM(D41:D42)</f>
        <v>8</v>
      </c>
      <c r="E40" s="26"/>
    </row>
    <row r="41" customFormat="false" ht="15" hidden="false" customHeight="false" outlineLevel="0" collapsed="false">
      <c r="A41" s="18" t="s">
        <v>294</v>
      </c>
      <c r="B41" s="18" t="n">
        <v>3</v>
      </c>
      <c r="C41" s="18" t="s">
        <v>295</v>
      </c>
      <c r="D41" s="22" t="n">
        <v>5</v>
      </c>
      <c r="E41" s="18" t="s">
        <v>296</v>
      </c>
    </row>
    <row r="42" customFormat="false" ht="15" hidden="false" customHeight="false" outlineLevel="0" collapsed="false">
      <c r="A42" s="18" t="s">
        <v>297</v>
      </c>
      <c r="B42" s="18" t="n">
        <v>3</v>
      </c>
      <c r="C42" s="18" t="s">
        <v>298</v>
      </c>
      <c r="D42" s="22" t="n">
        <v>3</v>
      </c>
      <c r="E42" s="18" t="s">
        <v>299</v>
      </c>
    </row>
    <row r="43" customFormat="false" ht="15" hidden="false" customHeight="false" outlineLevel="0" collapsed="false">
      <c r="A43" s="26" t="s">
        <v>88</v>
      </c>
      <c r="B43" s="26" t="n">
        <v>2</v>
      </c>
      <c r="C43" s="26" t="s">
        <v>89</v>
      </c>
      <c r="D43" s="27" t="n">
        <f aca="false">SUM(D44:D45)</f>
        <v>6</v>
      </c>
      <c r="E43" s="26"/>
    </row>
    <row r="44" customFormat="false" ht="15" hidden="false" customHeight="false" outlineLevel="0" collapsed="false">
      <c r="A44" s="18" t="s">
        <v>300</v>
      </c>
      <c r="B44" s="18" t="n">
        <v>3</v>
      </c>
      <c r="C44" s="18" t="s">
        <v>301</v>
      </c>
      <c r="D44" s="22" t="n">
        <v>3</v>
      </c>
      <c r="E44" s="18" t="s">
        <v>302</v>
      </c>
    </row>
    <row r="45" customFormat="false" ht="15" hidden="false" customHeight="false" outlineLevel="0" collapsed="false">
      <c r="A45" s="18" t="s">
        <v>303</v>
      </c>
      <c r="B45" s="18" t="n">
        <v>3</v>
      </c>
      <c r="C45" s="18" t="s">
        <v>304</v>
      </c>
      <c r="D45" s="22" t="n">
        <v>3</v>
      </c>
      <c r="E45" s="18" t="s">
        <v>305</v>
      </c>
    </row>
    <row r="46" customFormat="false" ht="15" hidden="false" customHeight="false" outlineLevel="0" collapsed="false">
      <c r="A46" s="26" t="s">
        <v>91</v>
      </c>
      <c r="B46" s="26" t="n">
        <v>2</v>
      </c>
      <c r="C46" s="26" t="s">
        <v>92</v>
      </c>
      <c r="D46" s="27" t="n">
        <f aca="false">SUM(D47:D48)</f>
        <v>8</v>
      </c>
      <c r="E46" s="26"/>
    </row>
    <row r="47" customFormat="false" ht="15" hidden="false" customHeight="false" outlineLevel="0" collapsed="false">
      <c r="A47" s="18" t="s">
        <v>306</v>
      </c>
      <c r="B47" s="18" t="n">
        <v>3</v>
      </c>
      <c r="C47" s="18" t="s">
        <v>307</v>
      </c>
      <c r="D47" s="22" t="n">
        <v>5</v>
      </c>
      <c r="E47" s="18" t="s">
        <v>308</v>
      </c>
    </row>
    <row r="48" customFormat="false" ht="15" hidden="false" customHeight="false" outlineLevel="0" collapsed="false">
      <c r="A48" s="18" t="s">
        <v>309</v>
      </c>
      <c r="B48" s="18" t="n">
        <v>3</v>
      </c>
      <c r="C48" s="18" t="s">
        <v>310</v>
      </c>
      <c r="D48" s="22" t="n">
        <v>3</v>
      </c>
      <c r="E48" s="18" t="s">
        <v>311</v>
      </c>
    </row>
    <row r="49" customFormat="false" ht="15" hidden="false" customHeight="false" outlineLevel="0" collapsed="false">
      <c r="A49" s="25" t="s">
        <v>94</v>
      </c>
      <c r="B49" s="25" t="n">
        <v>1</v>
      </c>
      <c r="C49" s="25" t="s">
        <v>95</v>
      </c>
      <c r="D49" s="25" t="n">
        <f aca="false">D50+D54+D57</f>
        <v>37</v>
      </c>
      <c r="E49" s="25" t="s">
        <v>312</v>
      </c>
    </row>
    <row r="50" customFormat="false" ht="15" hidden="false" customHeight="false" outlineLevel="0" collapsed="false">
      <c r="A50" s="26" t="s">
        <v>96</v>
      </c>
      <c r="B50" s="26" t="n">
        <v>2</v>
      </c>
      <c r="C50" s="26" t="s">
        <v>97</v>
      </c>
      <c r="D50" s="27" t="n">
        <f aca="false">SUM(D51:D53)</f>
        <v>16</v>
      </c>
      <c r="E50" s="26"/>
    </row>
    <row r="51" customFormat="false" ht="15" hidden="false" customHeight="false" outlineLevel="0" collapsed="false">
      <c r="A51" s="18" t="s">
        <v>313</v>
      </c>
      <c r="B51" s="18" t="n">
        <v>3</v>
      </c>
      <c r="C51" s="18" t="s">
        <v>314</v>
      </c>
      <c r="D51" s="22" t="n">
        <v>8</v>
      </c>
      <c r="E51" s="18" t="s">
        <v>315</v>
      </c>
    </row>
    <row r="52" customFormat="false" ht="15" hidden="false" customHeight="false" outlineLevel="0" collapsed="false">
      <c r="A52" s="18" t="s">
        <v>316</v>
      </c>
      <c r="B52" s="18" t="n">
        <v>3</v>
      </c>
      <c r="C52" s="18" t="s">
        <v>317</v>
      </c>
      <c r="D52" s="22" t="n">
        <v>5</v>
      </c>
      <c r="E52" s="18" t="s">
        <v>318</v>
      </c>
    </row>
    <row r="53" customFormat="false" ht="15" hidden="false" customHeight="false" outlineLevel="0" collapsed="false">
      <c r="A53" s="18" t="s">
        <v>319</v>
      </c>
      <c r="B53" s="18" t="n">
        <v>3</v>
      </c>
      <c r="C53" s="18" t="s">
        <v>320</v>
      </c>
      <c r="D53" s="22" t="n">
        <v>3</v>
      </c>
      <c r="E53" s="18" t="s">
        <v>321</v>
      </c>
    </row>
    <row r="54" customFormat="false" ht="15" hidden="false" customHeight="false" outlineLevel="0" collapsed="false">
      <c r="A54" s="26" t="s">
        <v>99</v>
      </c>
      <c r="B54" s="26" t="n">
        <v>2</v>
      </c>
      <c r="C54" s="26" t="s">
        <v>100</v>
      </c>
      <c r="D54" s="27" t="n">
        <f aca="false">SUM(D55:D56)</f>
        <v>5</v>
      </c>
      <c r="E54" s="26"/>
    </row>
    <row r="55" customFormat="false" ht="15" hidden="false" customHeight="false" outlineLevel="0" collapsed="false">
      <c r="A55" s="18" t="s">
        <v>322</v>
      </c>
      <c r="B55" s="18" t="n">
        <v>3</v>
      </c>
      <c r="C55" s="18" t="s">
        <v>323</v>
      </c>
      <c r="D55" s="22" t="n">
        <v>3</v>
      </c>
      <c r="E55" s="18" t="s">
        <v>324</v>
      </c>
    </row>
    <row r="56" customFormat="false" ht="15" hidden="false" customHeight="false" outlineLevel="0" collapsed="false">
      <c r="A56" s="18" t="s">
        <v>325</v>
      </c>
      <c r="B56" s="18" t="n">
        <v>3</v>
      </c>
      <c r="C56" s="18" t="s">
        <v>326</v>
      </c>
      <c r="D56" s="22" t="n">
        <v>2</v>
      </c>
      <c r="E56" s="18" t="s">
        <v>327</v>
      </c>
    </row>
    <row r="57" customFormat="false" ht="15" hidden="false" customHeight="false" outlineLevel="0" collapsed="false">
      <c r="A57" s="26" t="s">
        <v>102</v>
      </c>
      <c r="B57" s="26" t="n">
        <v>2</v>
      </c>
      <c r="C57" s="26" t="s">
        <v>103</v>
      </c>
      <c r="D57" s="27" t="n">
        <f aca="false">SUM(D58:D60)</f>
        <v>16</v>
      </c>
      <c r="E57" s="26"/>
    </row>
    <row r="58" customFormat="false" ht="15" hidden="false" customHeight="false" outlineLevel="0" collapsed="false">
      <c r="A58" s="18" t="s">
        <v>328</v>
      </c>
      <c r="B58" s="18" t="n">
        <v>3</v>
      </c>
      <c r="C58" s="18" t="s">
        <v>329</v>
      </c>
      <c r="D58" s="22" t="n">
        <v>5</v>
      </c>
      <c r="E58" s="18" t="s">
        <v>330</v>
      </c>
    </row>
    <row r="59" customFormat="false" ht="15" hidden="false" customHeight="false" outlineLevel="0" collapsed="false">
      <c r="A59" s="18" t="s">
        <v>331</v>
      </c>
      <c r="B59" s="18" t="n">
        <v>3</v>
      </c>
      <c r="C59" s="18" t="s">
        <v>332</v>
      </c>
      <c r="D59" s="22" t="n">
        <v>8</v>
      </c>
      <c r="E59" s="18" t="s">
        <v>333</v>
      </c>
    </row>
    <row r="60" customFormat="false" ht="15" hidden="false" customHeight="false" outlineLevel="0" collapsed="false">
      <c r="A60" s="18" t="s">
        <v>334</v>
      </c>
      <c r="B60" s="18" t="n">
        <v>3</v>
      </c>
      <c r="C60" s="18" t="s">
        <v>335</v>
      </c>
      <c r="D60" s="22" t="n">
        <v>3</v>
      </c>
      <c r="E60" s="18" t="s">
        <v>336</v>
      </c>
    </row>
    <row r="61" customFormat="false" ht="15" hidden="false" customHeight="false" outlineLevel="0" collapsed="false">
      <c r="A61" s="25" t="s">
        <v>106</v>
      </c>
      <c r="B61" s="25" t="n">
        <v>1</v>
      </c>
      <c r="C61" s="25" t="s">
        <v>107</v>
      </c>
      <c r="D61" s="25" t="n">
        <f aca="false">D62+D66+D70+D73</f>
        <v>46</v>
      </c>
      <c r="E61" s="25" t="s">
        <v>337</v>
      </c>
    </row>
    <row r="62" customFormat="false" ht="15" hidden="false" customHeight="false" outlineLevel="0" collapsed="false">
      <c r="A62" s="26" t="s">
        <v>108</v>
      </c>
      <c r="B62" s="26" t="n">
        <v>2</v>
      </c>
      <c r="C62" s="26" t="s">
        <v>109</v>
      </c>
      <c r="D62" s="27" t="n">
        <f aca="false">SUM(D63:D65)</f>
        <v>12</v>
      </c>
      <c r="E62" s="26"/>
    </row>
    <row r="63" customFormat="false" ht="15" hidden="false" customHeight="false" outlineLevel="0" collapsed="false">
      <c r="A63" s="18" t="s">
        <v>338</v>
      </c>
      <c r="B63" s="18" t="n">
        <v>3</v>
      </c>
      <c r="C63" s="18" t="s">
        <v>339</v>
      </c>
      <c r="D63" s="22" t="n">
        <v>5</v>
      </c>
      <c r="E63" s="18" t="s">
        <v>340</v>
      </c>
    </row>
    <row r="64" customFormat="false" ht="15" hidden="false" customHeight="false" outlineLevel="0" collapsed="false">
      <c r="A64" s="18" t="s">
        <v>341</v>
      </c>
      <c r="B64" s="18" t="n">
        <v>3</v>
      </c>
      <c r="C64" s="18" t="s">
        <v>342</v>
      </c>
      <c r="D64" s="22" t="n">
        <v>2</v>
      </c>
      <c r="E64" s="18" t="s">
        <v>343</v>
      </c>
    </row>
    <row r="65" customFormat="false" ht="15" hidden="false" customHeight="false" outlineLevel="0" collapsed="false">
      <c r="A65" s="18" t="s">
        <v>344</v>
      </c>
      <c r="B65" s="18" t="n">
        <v>3</v>
      </c>
      <c r="C65" s="18" t="s">
        <v>345</v>
      </c>
      <c r="D65" s="22" t="n">
        <v>5</v>
      </c>
      <c r="E65" s="18" t="s">
        <v>346</v>
      </c>
    </row>
    <row r="66" customFormat="false" ht="15" hidden="false" customHeight="false" outlineLevel="0" collapsed="false">
      <c r="A66" s="26" t="s">
        <v>112</v>
      </c>
      <c r="B66" s="26" t="n">
        <v>2</v>
      </c>
      <c r="C66" s="26" t="s">
        <v>113</v>
      </c>
      <c r="D66" s="27" t="n">
        <f aca="false">SUM(D67:D69)</f>
        <v>16</v>
      </c>
      <c r="E66" s="26"/>
    </row>
    <row r="67" customFormat="false" ht="15" hidden="false" customHeight="false" outlineLevel="0" collapsed="false">
      <c r="A67" s="18" t="s">
        <v>347</v>
      </c>
      <c r="B67" s="18" t="n">
        <v>3</v>
      </c>
      <c r="C67" s="18" t="s">
        <v>348</v>
      </c>
      <c r="D67" s="22" t="n">
        <v>5</v>
      </c>
      <c r="E67" s="18" t="s">
        <v>349</v>
      </c>
    </row>
    <row r="68" customFormat="false" ht="15" hidden="false" customHeight="false" outlineLevel="0" collapsed="false">
      <c r="A68" s="18" t="s">
        <v>350</v>
      </c>
      <c r="B68" s="18" t="n">
        <v>3</v>
      </c>
      <c r="C68" s="18" t="s">
        <v>351</v>
      </c>
      <c r="D68" s="22" t="n">
        <v>8</v>
      </c>
      <c r="E68" s="18" t="s">
        <v>352</v>
      </c>
    </row>
    <row r="69" customFormat="false" ht="15" hidden="false" customHeight="false" outlineLevel="0" collapsed="false">
      <c r="A69" s="18" t="s">
        <v>353</v>
      </c>
      <c r="B69" s="18" t="n">
        <v>3</v>
      </c>
      <c r="C69" s="18" t="s">
        <v>354</v>
      </c>
      <c r="D69" s="22" t="n">
        <v>3</v>
      </c>
      <c r="E69" s="18" t="s">
        <v>355</v>
      </c>
    </row>
    <row r="70" customFormat="false" ht="15" hidden="false" customHeight="false" outlineLevel="0" collapsed="false">
      <c r="A70" s="26" t="s">
        <v>115</v>
      </c>
      <c r="B70" s="26" t="n">
        <v>2</v>
      </c>
      <c r="C70" s="26" t="s">
        <v>116</v>
      </c>
      <c r="D70" s="27" t="n">
        <f aca="false">SUM(D71:D72)</f>
        <v>8</v>
      </c>
      <c r="E70" s="26"/>
    </row>
    <row r="71" customFormat="false" ht="15" hidden="false" customHeight="false" outlineLevel="0" collapsed="false">
      <c r="A71" s="18" t="s">
        <v>356</v>
      </c>
      <c r="B71" s="18" t="n">
        <v>3</v>
      </c>
      <c r="C71" s="18" t="s">
        <v>357</v>
      </c>
      <c r="D71" s="22" t="n">
        <v>5</v>
      </c>
      <c r="E71" s="18" t="s">
        <v>358</v>
      </c>
    </row>
    <row r="72" customFormat="false" ht="15" hidden="false" customHeight="false" outlineLevel="0" collapsed="false">
      <c r="A72" s="18" t="s">
        <v>359</v>
      </c>
      <c r="B72" s="18" t="n">
        <v>3</v>
      </c>
      <c r="C72" s="18" t="s">
        <v>360</v>
      </c>
      <c r="D72" s="22" t="n">
        <v>3</v>
      </c>
      <c r="E72" s="18" t="s">
        <v>361</v>
      </c>
    </row>
    <row r="73" customFormat="false" ht="15" hidden="false" customHeight="false" outlineLevel="0" collapsed="false">
      <c r="A73" s="26" t="s">
        <v>118</v>
      </c>
      <c r="B73" s="26" t="n">
        <v>2</v>
      </c>
      <c r="C73" s="26" t="s">
        <v>119</v>
      </c>
      <c r="D73" s="27" t="n">
        <f aca="false">SUM(D74:D75)</f>
        <v>10</v>
      </c>
      <c r="E73" s="26"/>
    </row>
    <row r="74" customFormat="false" ht="15" hidden="false" customHeight="false" outlineLevel="0" collapsed="false">
      <c r="A74" s="18" t="s">
        <v>362</v>
      </c>
      <c r="B74" s="18" t="n">
        <v>3</v>
      </c>
      <c r="C74" s="18" t="s">
        <v>363</v>
      </c>
      <c r="D74" s="22" t="n">
        <v>5</v>
      </c>
      <c r="E74" s="18" t="s">
        <v>364</v>
      </c>
    </row>
    <row r="75" customFormat="false" ht="15" hidden="false" customHeight="false" outlineLevel="0" collapsed="false">
      <c r="A75" s="18" t="s">
        <v>365</v>
      </c>
      <c r="B75" s="18" t="n">
        <v>3</v>
      </c>
      <c r="C75" s="18" t="s">
        <v>366</v>
      </c>
      <c r="D75" s="22" t="n">
        <v>5</v>
      </c>
      <c r="E75" s="18" t="s">
        <v>367</v>
      </c>
    </row>
    <row r="76" customFormat="false" ht="15" hidden="false" customHeight="false" outlineLevel="0" collapsed="false">
      <c r="A76" s="25" t="s">
        <v>120</v>
      </c>
      <c r="B76" s="25" t="n">
        <v>1</v>
      </c>
      <c r="C76" s="25" t="s">
        <v>121</v>
      </c>
      <c r="D76" s="25" t="n">
        <f aca="false">D77+D81</f>
        <v>19</v>
      </c>
      <c r="E76" s="25" t="s">
        <v>368</v>
      </c>
    </row>
    <row r="77" customFormat="false" ht="15" hidden="false" customHeight="false" outlineLevel="0" collapsed="false">
      <c r="A77" s="26" t="s">
        <v>122</v>
      </c>
      <c r="B77" s="26" t="n">
        <v>2</v>
      </c>
      <c r="C77" s="26" t="s">
        <v>123</v>
      </c>
      <c r="D77" s="27" t="n">
        <f aca="false">SUM(D78:D80)</f>
        <v>14</v>
      </c>
      <c r="E77" s="26"/>
    </row>
    <row r="78" customFormat="false" ht="15" hidden="false" customHeight="false" outlineLevel="0" collapsed="false">
      <c r="A78" s="18" t="s">
        <v>369</v>
      </c>
      <c r="B78" s="18" t="n">
        <v>3</v>
      </c>
      <c r="C78" s="18" t="s">
        <v>370</v>
      </c>
      <c r="D78" s="22" t="n">
        <v>8</v>
      </c>
      <c r="E78" s="18" t="s">
        <v>371</v>
      </c>
    </row>
    <row r="79" customFormat="false" ht="15" hidden="false" customHeight="false" outlineLevel="0" collapsed="false">
      <c r="A79" s="18" t="s">
        <v>372</v>
      </c>
      <c r="B79" s="18" t="n">
        <v>3</v>
      </c>
      <c r="C79" s="18" t="s">
        <v>373</v>
      </c>
      <c r="D79" s="22" t="n">
        <v>3</v>
      </c>
      <c r="E79" s="18" t="s">
        <v>374</v>
      </c>
    </row>
    <row r="80" customFormat="false" ht="15" hidden="false" customHeight="false" outlineLevel="0" collapsed="false">
      <c r="A80" s="18" t="s">
        <v>375</v>
      </c>
      <c r="B80" s="18" t="n">
        <v>3</v>
      </c>
      <c r="C80" s="18" t="s">
        <v>376</v>
      </c>
      <c r="D80" s="22" t="n">
        <v>3</v>
      </c>
      <c r="E80" s="18" t="s">
        <v>374</v>
      </c>
    </row>
    <row r="81" customFormat="false" ht="15" hidden="false" customHeight="false" outlineLevel="0" collapsed="false">
      <c r="A81" s="26" t="s">
        <v>125</v>
      </c>
      <c r="B81" s="26" t="n">
        <v>2</v>
      </c>
      <c r="C81" s="26" t="s">
        <v>126</v>
      </c>
      <c r="D81" s="27" t="n">
        <f aca="false">SUM(D82:D82)</f>
        <v>5</v>
      </c>
      <c r="E81" s="26"/>
    </row>
    <row r="82" customFormat="false" ht="15" hidden="false" customHeight="false" outlineLevel="0" collapsed="false">
      <c r="A82" s="18" t="s">
        <v>377</v>
      </c>
      <c r="B82" s="18" t="n">
        <v>3</v>
      </c>
      <c r="C82" s="18" t="s">
        <v>378</v>
      </c>
      <c r="D82" s="22" t="n">
        <v>5</v>
      </c>
      <c r="E82" s="18" t="s">
        <v>379</v>
      </c>
    </row>
    <row r="83" customFormat="false" ht="15" hidden="false" customHeight="false" outlineLevel="0" collapsed="false">
      <c r="A83" s="25" t="s">
        <v>128</v>
      </c>
      <c r="B83" s="25" t="n">
        <v>1</v>
      </c>
      <c r="C83" s="25" t="s">
        <v>129</v>
      </c>
      <c r="D83" s="25" t="n">
        <f aca="false">D84+D88</f>
        <v>12</v>
      </c>
      <c r="E83" s="25" t="s">
        <v>380</v>
      </c>
    </row>
    <row r="84" customFormat="false" ht="15" hidden="false" customHeight="false" outlineLevel="0" collapsed="false">
      <c r="A84" s="26" t="s">
        <v>130</v>
      </c>
      <c r="B84" s="26" t="n">
        <v>2</v>
      </c>
      <c r="C84" s="26" t="s">
        <v>131</v>
      </c>
      <c r="D84" s="27" t="n">
        <f aca="false">SUM(D85:D87)</f>
        <v>11</v>
      </c>
      <c r="E84" s="26"/>
    </row>
    <row r="85" customFormat="false" ht="15" hidden="false" customHeight="false" outlineLevel="0" collapsed="false">
      <c r="A85" s="18" t="s">
        <v>381</v>
      </c>
      <c r="B85" s="18" t="n">
        <v>3</v>
      </c>
      <c r="C85" s="18" t="s">
        <v>382</v>
      </c>
      <c r="D85" s="22" t="n">
        <v>5</v>
      </c>
      <c r="E85" s="18" t="s">
        <v>383</v>
      </c>
    </row>
    <row r="86" customFormat="false" ht="15" hidden="false" customHeight="false" outlineLevel="0" collapsed="false">
      <c r="A86" s="18" t="s">
        <v>384</v>
      </c>
      <c r="B86" s="18" t="n">
        <v>3</v>
      </c>
      <c r="C86" s="18" t="s">
        <v>385</v>
      </c>
      <c r="D86" s="22" t="n">
        <v>3</v>
      </c>
      <c r="E86" s="18" t="s">
        <v>386</v>
      </c>
    </row>
    <row r="87" customFormat="false" ht="15" hidden="false" customHeight="false" outlineLevel="0" collapsed="false">
      <c r="A87" s="18" t="s">
        <v>387</v>
      </c>
      <c r="B87" s="18" t="n">
        <v>3</v>
      </c>
      <c r="C87" s="18" t="s">
        <v>388</v>
      </c>
      <c r="D87" s="22" t="n">
        <v>3</v>
      </c>
      <c r="E87" s="18" t="s">
        <v>389</v>
      </c>
    </row>
    <row r="88" customFormat="false" ht="15" hidden="false" customHeight="false" outlineLevel="0" collapsed="false">
      <c r="A88" s="26" t="s">
        <v>132</v>
      </c>
      <c r="B88" s="26" t="n">
        <v>2</v>
      </c>
      <c r="C88" s="26" t="s">
        <v>133</v>
      </c>
      <c r="D88" s="27" t="n">
        <f aca="false">SUM(D89:D89)</f>
        <v>1</v>
      </c>
      <c r="E88" s="26"/>
    </row>
    <row r="89" customFormat="false" ht="15" hidden="false" customHeight="false" outlineLevel="0" collapsed="false">
      <c r="A89" s="18" t="s">
        <v>390</v>
      </c>
      <c r="B89" s="18" t="n">
        <v>3</v>
      </c>
      <c r="C89" s="18" t="s">
        <v>391</v>
      </c>
      <c r="D89" s="22" t="n">
        <v>1</v>
      </c>
      <c r="E89" s="18" t="s">
        <v>392</v>
      </c>
    </row>
    <row r="90" customFormat="false" ht="15" hidden="false" customHeight="false" outlineLevel="0" collapsed="false">
      <c r="A90" s="25" t="s">
        <v>135</v>
      </c>
      <c r="B90" s="25" t="n">
        <v>1</v>
      </c>
      <c r="C90" s="25" t="s">
        <v>136</v>
      </c>
      <c r="D90" s="25" t="n">
        <f aca="false">D91+D95+D99+D102</f>
        <v>64</v>
      </c>
      <c r="E90" s="25" t="s">
        <v>393</v>
      </c>
    </row>
    <row r="91" customFormat="false" ht="15" hidden="false" customHeight="false" outlineLevel="0" collapsed="false">
      <c r="A91" s="26" t="s">
        <v>137</v>
      </c>
      <c r="B91" s="26" t="n">
        <v>2</v>
      </c>
      <c r="C91" s="26" t="s">
        <v>138</v>
      </c>
      <c r="D91" s="27" t="n">
        <f aca="false">SUM(D92:D94)</f>
        <v>18</v>
      </c>
      <c r="E91" s="26"/>
    </row>
    <row r="92" customFormat="false" ht="15" hidden="false" customHeight="false" outlineLevel="0" collapsed="false">
      <c r="A92" s="18" t="s">
        <v>394</v>
      </c>
      <c r="B92" s="18" t="n">
        <v>3</v>
      </c>
      <c r="C92" s="18" t="s">
        <v>395</v>
      </c>
      <c r="D92" s="22" t="n">
        <v>8</v>
      </c>
      <c r="E92" s="18" t="s">
        <v>396</v>
      </c>
    </row>
    <row r="93" customFormat="false" ht="15" hidden="false" customHeight="false" outlineLevel="0" collapsed="false">
      <c r="A93" s="18" t="s">
        <v>397</v>
      </c>
      <c r="B93" s="18" t="n">
        <v>3</v>
      </c>
      <c r="C93" s="18" t="s">
        <v>398</v>
      </c>
      <c r="D93" s="22" t="n">
        <v>5</v>
      </c>
      <c r="E93" s="18" t="s">
        <v>399</v>
      </c>
    </row>
    <row r="94" customFormat="false" ht="15" hidden="false" customHeight="false" outlineLevel="0" collapsed="false">
      <c r="A94" s="18" t="s">
        <v>400</v>
      </c>
      <c r="B94" s="18" t="n">
        <v>3</v>
      </c>
      <c r="C94" s="18" t="s">
        <v>401</v>
      </c>
      <c r="D94" s="22" t="n">
        <v>5</v>
      </c>
      <c r="E94" s="18" t="s">
        <v>402</v>
      </c>
    </row>
    <row r="95" customFormat="false" ht="15" hidden="false" customHeight="false" outlineLevel="0" collapsed="false">
      <c r="A95" s="26" t="s">
        <v>141</v>
      </c>
      <c r="B95" s="26" t="n">
        <v>2</v>
      </c>
      <c r="C95" s="26" t="s">
        <v>142</v>
      </c>
      <c r="D95" s="27" t="n">
        <f aca="false">SUM(D96:D98)</f>
        <v>18</v>
      </c>
      <c r="E95" s="26"/>
    </row>
    <row r="96" customFormat="false" ht="15" hidden="false" customHeight="false" outlineLevel="0" collapsed="false">
      <c r="A96" s="18" t="s">
        <v>403</v>
      </c>
      <c r="B96" s="18" t="n">
        <v>3</v>
      </c>
      <c r="C96" s="18" t="s">
        <v>404</v>
      </c>
      <c r="D96" s="22" t="n">
        <v>5</v>
      </c>
      <c r="E96" s="18" t="s">
        <v>405</v>
      </c>
    </row>
    <row r="97" customFormat="false" ht="15" hidden="false" customHeight="false" outlineLevel="0" collapsed="false">
      <c r="A97" s="18" t="s">
        <v>406</v>
      </c>
      <c r="B97" s="18" t="n">
        <v>3</v>
      </c>
      <c r="C97" s="18" t="s">
        <v>407</v>
      </c>
      <c r="D97" s="22" t="n">
        <v>8</v>
      </c>
      <c r="E97" s="18" t="s">
        <v>408</v>
      </c>
    </row>
    <row r="98" customFormat="false" ht="15" hidden="false" customHeight="false" outlineLevel="0" collapsed="false">
      <c r="A98" s="18" t="s">
        <v>409</v>
      </c>
      <c r="B98" s="18" t="n">
        <v>3</v>
      </c>
      <c r="C98" s="18" t="s">
        <v>410</v>
      </c>
      <c r="D98" s="22" t="n">
        <v>5</v>
      </c>
      <c r="E98" s="18" t="s">
        <v>411</v>
      </c>
    </row>
    <row r="99" customFormat="false" ht="15" hidden="false" customHeight="false" outlineLevel="0" collapsed="false">
      <c r="A99" s="26" t="s">
        <v>143</v>
      </c>
      <c r="B99" s="26" t="n">
        <v>2</v>
      </c>
      <c r="C99" s="26" t="s">
        <v>144</v>
      </c>
      <c r="D99" s="27" t="n">
        <f aca="false">SUM(D100:D101)</f>
        <v>13</v>
      </c>
      <c r="E99" s="26"/>
    </row>
    <row r="100" customFormat="false" ht="15" hidden="false" customHeight="false" outlineLevel="0" collapsed="false">
      <c r="A100" s="18" t="s">
        <v>412</v>
      </c>
      <c r="B100" s="18" t="n">
        <v>3</v>
      </c>
      <c r="C100" s="18" t="s">
        <v>413</v>
      </c>
      <c r="D100" s="22" t="n">
        <v>8</v>
      </c>
      <c r="E100" s="18" t="s">
        <v>414</v>
      </c>
    </row>
    <row r="101" customFormat="false" ht="15" hidden="false" customHeight="false" outlineLevel="0" collapsed="false">
      <c r="A101" s="18" t="s">
        <v>415</v>
      </c>
      <c r="B101" s="18" t="n">
        <v>3</v>
      </c>
      <c r="C101" s="18" t="s">
        <v>416</v>
      </c>
      <c r="D101" s="22" t="n">
        <v>5</v>
      </c>
      <c r="E101" s="18" t="s">
        <v>417</v>
      </c>
    </row>
    <row r="102" customFormat="false" ht="15" hidden="false" customHeight="false" outlineLevel="0" collapsed="false">
      <c r="A102" s="26" t="s">
        <v>145</v>
      </c>
      <c r="B102" s="26" t="n">
        <v>2</v>
      </c>
      <c r="C102" s="26" t="s">
        <v>146</v>
      </c>
      <c r="D102" s="27" t="n">
        <f aca="false">SUM(D103:D105)</f>
        <v>15</v>
      </c>
      <c r="E102" s="26"/>
    </row>
    <row r="103" customFormat="false" ht="15" hidden="false" customHeight="false" outlineLevel="0" collapsed="false">
      <c r="A103" s="18" t="s">
        <v>418</v>
      </c>
      <c r="B103" s="18" t="n">
        <v>3</v>
      </c>
      <c r="C103" s="18" t="s">
        <v>419</v>
      </c>
      <c r="D103" s="22" t="n">
        <v>5</v>
      </c>
      <c r="E103" s="18" t="s">
        <v>420</v>
      </c>
    </row>
    <row r="104" customFormat="false" ht="15" hidden="false" customHeight="false" outlineLevel="0" collapsed="false">
      <c r="A104" s="18" t="s">
        <v>421</v>
      </c>
      <c r="B104" s="18" t="n">
        <v>3</v>
      </c>
      <c r="C104" s="18" t="s">
        <v>422</v>
      </c>
      <c r="D104" s="22" t="n">
        <v>5</v>
      </c>
      <c r="E104" s="18" t="s">
        <v>420</v>
      </c>
    </row>
    <row r="105" customFormat="false" ht="15" hidden="false" customHeight="false" outlineLevel="0" collapsed="false">
      <c r="A105" s="18" t="s">
        <v>423</v>
      </c>
      <c r="B105" s="18" t="n">
        <v>3</v>
      </c>
      <c r="C105" s="18" t="s">
        <v>424</v>
      </c>
      <c r="D105" s="22" t="n">
        <v>5</v>
      </c>
      <c r="E105" s="18" t="s">
        <v>425</v>
      </c>
    </row>
    <row r="106" customFormat="false" ht="15" hidden="false" customHeight="false" outlineLevel="0" collapsed="false">
      <c r="A106" s="25" t="s">
        <v>149</v>
      </c>
      <c r="B106" s="25" t="n">
        <v>1</v>
      </c>
      <c r="C106" s="25" t="s">
        <v>150</v>
      </c>
      <c r="D106" s="25" t="n">
        <f aca="false">D107+D111+D115</f>
        <v>52</v>
      </c>
      <c r="E106" s="25" t="s">
        <v>426</v>
      </c>
    </row>
    <row r="107" customFormat="false" ht="15" hidden="false" customHeight="false" outlineLevel="0" collapsed="false">
      <c r="A107" s="26" t="s">
        <v>151</v>
      </c>
      <c r="B107" s="26" t="n">
        <v>2</v>
      </c>
      <c r="C107" s="26" t="s">
        <v>152</v>
      </c>
      <c r="D107" s="27" t="n">
        <f aca="false">SUM(D108:D110)</f>
        <v>21</v>
      </c>
      <c r="E107" s="26"/>
    </row>
    <row r="108" customFormat="false" ht="15" hidden="false" customHeight="false" outlineLevel="0" collapsed="false">
      <c r="A108" s="18" t="s">
        <v>427</v>
      </c>
      <c r="B108" s="18" t="n">
        <v>3</v>
      </c>
      <c r="C108" s="18" t="s">
        <v>428</v>
      </c>
      <c r="D108" s="22" t="n">
        <v>5</v>
      </c>
      <c r="E108" s="18" t="s">
        <v>429</v>
      </c>
    </row>
    <row r="109" customFormat="false" ht="15" hidden="false" customHeight="false" outlineLevel="0" collapsed="false">
      <c r="A109" s="18" t="s">
        <v>430</v>
      </c>
      <c r="B109" s="18" t="n">
        <v>3</v>
      </c>
      <c r="C109" s="18" t="s">
        <v>431</v>
      </c>
      <c r="D109" s="22" t="n">
        <v>8</v>
      </c>
      <c r="E109" s="18" t="s">
        <v>432</v>
      </c>
    </row>
    <row r="110" customFormat="false" ht="15" hidden="false" customHeight="false" outlineLevel="0" collapsed="false">
      <c r="A110" s="18" t="s">
        <v>433</v>
      </c>
      <c r="B110" s="18" t="n">
        <v>3</v>
      </c>
      <c r="C110" s="18" t="s">
        <v>434</v>
      </c>
      <c r="D110" s="22" t="n">
        <v>8</v>
      </c>
      <c r="E110" s="18" t="s">
        <v>435</v>
      </c>
    </row>
    <row r="111" customFormat="false" ht="15" hidden="false" customHeight="false" outlineLevel="0" collapsed="false">
      <c r="A111" s="26" t="s">
        <v>154</v>
      </c>
      <c r="B111" s="26" t="n">
        <v>2</v>
      </c>
      <c r="C111" s="26" t="s">
        <v>155</v>
      </c>
      <c r="D111" s="27" t="n">
        <f aca="false">SUM(D112:D114)</f>
        <v>16</v>
      </c>
      <c r="E111" s="26"/>
    </row>
    <row r="112" customFormat="false" ht="15" hidden="false" customHeight="false" outlineLevel="0" collapsed="false">
      <c r="A112" s="18" t="s">
        <v>436</v>
      </c>
      <c r="B112" s="18" t="n">
        <v>3</v>
      </c>
      <c r="C112" s="18" t="s">
        <v>437</v>
      </c>
      <c r="D112" s="22" t="n">
        <v>8</v>
      </c>
      <c r="E112" s="18" t="s">
        <v>438</v>
      </c>
    </row>
    <row r="113" customFormat="false" ht="15" hidden="false" customHeight="false" outlineLevel="0" collapsed="false">
      <c r="A113" s="18" t="s">
        <v>439</v>
      </c>
      <c r="B113" s="18" t="n">
        <v>3</v>
      </c>
      <c r="C113" s="18" t="s">
        <v>440</v>
      </c>
      <c r="D113" s="22" t="n">
        <v>5</v>
      </c>
      <c r="E113" s="18" t="s">
        <v>441</v>
      </c>
    </row>
    <row r="114" customFormat="false" ht="15" hidden="false" customHeight="false" outlineLevel="0" collapsed="false">
      <c r="A114" s="18" t="s">
        <v>442</v>
      </c>
      <c r="B114" s="18" t="n">
        <v>3</v>
      </c>
      <c r="C114" s="18" t="s">
        <v>443</v>
      </c>
      <c r="D114" s="22" t="n">
        <v>3</v>
      </c>
      <c r="E114" s="18" t="s">
        <v>444</v>
      </c>
    </row>
    <row r="115" customFormat="false" ht="15" hidden="false" customHeight="false" outlineLevel="0" collapsed="false">
      <c r="A115" s="26" t="s">
        <v>157</v>
      </c>
      <c r="B115" s="26" t="n">
        <v>2</v>
      </c>
      <c r="C115" s="26" t="s">
        <v>158</v>
      </c>
      <c r="D115" s="27" t="n">
        <f aca="false">SUM(D116:D118)</f>
        <v>15</v>
      </c>
      <c r="E115" s="26"/>
    </row>
    <row r="116" customFormat="false" ht="15" hidden="false" customHeight="false" outlineLevel="0" collapsed="false">
      <c r="A116" s="18" t="s">
        <v>445</v>
      </c>
      <c r="B116" s="18" t="n">
        <v>3</v>
      </c>
      <c r="C116" s="18" t="s">
        <v>446</v>
      </c>
      <c r="D116" s="22" t="n">
        <v>5</v>
      </c>
      <c r="E116" s="18" t="s">
        <v>447</v>
      </c>
    </row>
    <row r="117" customFormat="false" ht="15" hidden="false" customHeight="false" outlineLevel="0" collapsed="false">
      <c r="A117" s="18" t="s">
        <v>448</v>
      </c>
      <c r="B117" s="18" t="n">
        <v>3</v>
      </c>
      <c r="C117" s="18" t="s">
        <v>449</v>
      </c>
      <c r="D117" s="22" t="n">
        <v>5</v>
      </c>
      <c r="E117" s="18" t="s">
        <v>450</v>
      </c>
    </row>
    <row r="118" customFormat="false" ht="15" hidden="false" customHeight="false" outlineLevel="0" collapsed="false">
      <c r="A118" s="18" t="s">
        <v>451</v>
      </c>
      <c r="B118" s="18" t="n">
        <v>3</v>
      </c>
      <c r="C118" s="18" t="s">
        <v>452</v>
      </c>
      <c r="D118" s="22" t="n">
        <v>5</v>
      </c>
      <c r="E118" s="18" t="s">
        <v>453</v>
      </c>
    </row>
    <row r="119" customFormat="false" ht="15" hidden="false" customHeight="false" outlineLevel="0" collapsed="false">
      <c r="A119" s="18"/>
      <c r="B119" s="18"/>
      <c r="C119" s="19" t="s">
        <v>454</v>
      </c>
      <c r="D119" s="19" t="n">
        <f aca="false">D2+D21+D34+D49+D61+D76+D83+D90+D106</f>
        <v>356</v>
      </c>
      <c r="E119" s="18"/>
    </row>
    <row r="120" customFormat="false" ht="15" hidden="false" customHeight="false" outlineLevel="0" collapsed="false">
      <c r="A120" s="18"/>
      <c r="B120" s="18"/>
      <c r="C120" s="18"/>
      <c r="D120" s="18"/>
      <c r="E120" s="18"/>
    </row>
    <row r="121" customFormat="false" ht="15" hidden="false" customHeight="false" outlineLevel="0" collapsed="false">
      <c r="A121" s="18"/>
      <c r="B121" s="18"/>
      <c r="C121" s="18" t="s">
        <v>455</v>
      </c>
      <c r="D121" s="18"/>
      <c r="E121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2026-09-18T04:10:23Z</dcterms:created>
  <dc:creator>openpyxl</dc:creator>
  <dc:description/>
  <dc:language>en-US</dc:language>
  <cp:lastModifiedBy/>
  <dcterms:modified xsi:type="dcterms:W3CDTF">2026-09-18T04:10:23Z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